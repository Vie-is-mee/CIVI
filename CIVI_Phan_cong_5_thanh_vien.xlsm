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01_Phan_cong" sheetId="1" r:id="rId4"/>
    <sheet state="visible" name="02_Cong_viec" sheetId="2" r:id="rId5"/>
    <sheet state="visible" name="03_Ban_giao" sheetId="3" r:id="rId6"/>
  </sheets>
  <definedNames/>
  <calcPr/>
  <extLst>
    <ext uri="GoogleSheetsCustomDataVersion2">
      <go:sheetsCustomData xmlns:go="http://customooxmlschemas.google.com/" r:id="rId7" roundtripDataChecksum="ExM5/rnJUmczph3JyvTB7b0zKG1g9svqYt2Ehfr+u/s="/>
    </ext>
  </extLst>
</workbook>
</file>

<file path=xl/sharedStrings.xml><?xml version="1.0" encoding="utf-8"?>
<sst xmlns="http://schemas.openxmlformats.org/spreadsheetml/2006/main" count="593" uniqueCount="444">
  <si>
    <t>CIVI - Bàn giao và giới hạn triển khai</t>
  </si>
  <si>
    <t>CIVI - Phân công 5 thành viên</t>
  </si>
  <si>
    <t>Gói</t>
  </si>
  <si>
    <t>Chuẩn nội dung: kịch bản v4.1. AI thử tại S03; chỉ mở rộng khi có bằng chứng.</t>
  </si>
  <si>
    <t>Kế hoạch đề xuất 18/10–05/11/2026. Hạn theo PDF AI: 05/11 lúc 23:59; mục tiêu nộp nội bộ: 20:00.</t>
  </si>
  <si>
    <t>Từ / đến</t>
  </si>
  <si>
    <t>Đầu vào</t>
  </si>
  <si>
    <t>Sản phẩm nhận</t>
  </si>
  <si>
    <t>Kiểm để chấp nhận</t>
  </si>
  <si>
    <t>Mốc đầu</t>
  </si>
  <si>
    <t>Phụ trách</t>
  </si>
  <si>
    <t>Nội dung</t>
  </si>
  <si>
    <t>Điền tên ở ô vàng; lọc TV1–TV5 trong 02_Cong_viec. Chưa có thông tin về kỹ năng và tiến độ thực tế.</t>
  </si>
  <si>
    <t>TV1 sang TV2/3/4</t>
  </si>
  <si>
    <t>Kịch bản v4.1 và bảng cảnh</t>
  </si>
  <si>
    <t>scene_id, thoại/lựa chọn, state, quyền, asset_id</t>
  </si>
  <si>
    <t>TV2 chạy một mẫu; TV4 nhận cùng intent/target; TV3 hiểu ảnh cần làm</t>
  </si>
  <si>
    <t>TV1</t>
  </si>
  <si>
    <t>Tài sản</t>
  </si>
  <si>
    <t>TV3 sang TV2</t>
  </si>
  <si>
    <t>Asset list và nội dung đã duyệt</t>
  </si>
  <si>
    <t>File đặt tên theo ID; kích thước, phụ đề, nguồn/quyền</t>
  </si>
  <si>
    <t>TV2 nạp đúng file; TV1 so số người và đạo cụ; không dùng 0443 sai nghĩa</t>
  </si>
  <si>
    <t>Vị trí</t>
  </si>
  <si>
    <t>TV3</t>
  </si>
  <si>
    <t>Ý định AI</t>
  </si>
  <si>
    <t>Tên thành viên</t>
  </si>
  <si>
    <t>TV4 sang TV2</t>
  </si>
  <si>
    <t>scene_id, NPC, nguồn được mở, lịch sử ngắn</t>
  </si>
  <si>
    <t>intent/target/ambiguity; lỗi và timeout; cùng schema cho B/C</t>
  </si>
  <si>
    <t>Vai trò chính</t>
  </si>
  <si>
    <t>TV2 kiểm luật trước thi hành; phản hồi viết sẵn; lời nhập không tự đổi quyền/state</t>
  </si>
  <si>
    <t>Sở hữu và đầu ra chính</t>
  </si>
  <si>
    <t>TV4</t>
  </si>
  <si>
    <t>Phối hợp</t>
  </si>
  <si>
    <t>Build thử</t>
  </si>
  <si>
    <t>TV2 sang TV5</t>
  </si>
  <si>
    <t>Số việc</t>
  </si>
  <si>
    <t>Cảnh + tài sản + bộ luật game</t>
  </si>
  <si>
    <t>Build chạy bằng nút, hai đường sân, log và save/load</t>
  </si>
  <si>
    <t>Giờ dự kiến</t>
  </si>
  <si>
    <t>TV5 tự mở trên máy khác; Nhi pending/declined không tự xuất hiện</t>
  </si>
  <si>
    <t>Đã ghi nhận tích hợp</t>
  </si>
  <si>
    <t>TV2</t>
  </si>
  <si>
    <t>Kết quả thử</t>
  </si>
  <si>
    <t>Chưa cập nhật</t>
  </si>
  <si>
    <t>TV5 + TV4 sang cả nhóm</t>
  </si>
  <si>
    <t>Test matrix, người thử và log A/B/C</t>
  </si>
  <si>
    <t>Lỗi tái hiện được; số đo; nhận xét; chi phí thực</t>
  </si>
  <si>
    <t>Tách dữ kiện và diễn giải; không tuyên bố tác động giáo dục rộng từ mẫu nhỏ</t>
  </si>
  <si>
    <t>TV5</t>
  </si>
  <si>
    <t>Bản nộp</t>
  </si>
  <si>
    <t>Nguyễn Quốc Việt</t>
  </si>
  <si>
    <t>TV2/3/4 sang TV5</t>
  </si>
  <si>
    <t>Build khóa, video, kết quả và giới hạn</t>
  </si>
  <si>
    <t>Gói hồ sơ theo checklist cuộc thi</t>
  </si>
  <si>
    <t>TV5 và người kiểm chéo mở link/tệp, xác nhận bản đúng và lưu biên nhận</t>
  </si>
  <si>
    <t>Cảnh v4.1</t>
  </si>
  <si>
    <t>Mức MVP đề xuất</t>
  </si>
  <si>
    <t>Owner nội dung / ghép</t>
  </si>
  <si>
    <t>Điều bắt buộc</t>
  </si>
  <si>
    <t>Tham chiếu</t>
  </si>
  <si>
    <t>S00</t>
  </si>
  <si>
    <t>Giữ, rút gọn 2–3 phút</t>
  </si>
  <si>
    <t>TV1 / TV2 / TV3</t>
  </si>
  <si>
    <t>Ảnh đủ bốn, ảnh hỏng, sơ đồ và cử chỉ quay lại</t>
  </si>
  <si>
    <t>Kịch bản tr.17,19</t>
  </si>
  <si>
    <t>S01 / S02</t>
  </si>
  <si>
    <t>S01 giữ; S02 gộp thông tin cần thiết</t>
  </si>
  <si>
    <t>TV1 / TV2</t>
  </si>
  <si>
    <t>Minh rút theo tin An; kẹp/lịch và quyền Nhi được nói rõ</t>
  </si>
  <si>
    <t>Kịch bản và thiết kế chơi</t>
  </si>
  <si>
    <t>Khóa truyện, biến trạng thái, thoại, hai nhánh sân; duyệt phản hồi AI</t>
  </si>
  <si>
    <t>S03 / S04</t>
  </si>
  <si>
    <t>Gộp 3–4 phút; thử AI tại S03</t>
  </si>
  <si>
    <t>TV2 / TV3 / TV4</t>
  </si>
  <si>
    <t>TV1 / TV2 / TV4</t>
  </si>
  <si>
    <t>0443 thật chỉ có ba người; video chín giây; NPC không biết ngoài nguồn</t>
  </si>
  <si>
    <t>Kịch bản tr.6,17,19</t>
  </si>
  <si>
    <t>S05 / S06</t>
  </si>
  <si>
    <t>Giữ nháp và tranh luận/phản hồi ngắn</t>
  </si>
  <si>
    <t>Ba mẫu nháp và người nhận; hiểu sớm không bị ép chọn sai</t>
  </si>
  <si>
    <t>Kịch bản tr.7–8,17,19</t>
  </si>
  <si>
    <t>S07 / S08</t>
  </si>
  <si>
    <t>Rút gọn lời mời và chuẩn bị</t>
  </si>
  <si>
    <t>Accepted/pending/declined; kẹp, pin, chia việc; lịch đã biết</t>
  </si>
  <si>
    <t>Kịch bản tr.17–18</t>
  </si>
  <si>
    <t>S09-A / S09-B</t>
  </si>
  <si>
    <t>Giữ cả hai đường, 4–5 phút/đường</t>
  </si>
  <si>
    <t>Nhi vắng vẫn có chụp ba/thu đồ/hẹn khác; chỉ gặp lại nếu có xác nhận</t>
  </si>
  <si>
    <t>Kịch bản tr.10–12,18–19</t>
  </si>
  <si>
    <t>S10 / E-A/B/C</t>
  </si>
  <si>
    <t>Trang cuối + đoạn kết ngắn theo đường đã làm</t>
  </si>
  <si>
    <t>Lưu hiện vật cuối, đúng người/quyền/ngày; không chấm điểm đạo đức</t>
  </si>
  <si>
    <t>Kịch bản tr.12–14,19</t>
  </si>
  <si>
    <t>Mở rộng</t>
  </si>
  <si>
    <t>Chỉ sau G3 nếu còn nguồn lực</t>
  </si>
  <si>
    <t>Cả nhóm quyết định</t>
  </si>
  <si>
    <t>Đầy đủ mọi biến thể A/B/C, cảnh AI thứ hai, mỹ thuật phụ</t>
  </si>
  <si>
    <t>Kịch bản tr.19</t>
  </si>
  <si>
    <t>Quy tắc</t>
  </si>
  <si>
    <t>Điều cần thực hiện</t>
  </si>
  <si>
    <t>Người giữ</t>
  </si>
  <si>
    <t>Điều kiện chốt</t>
  </si>
  <si>
    <t>Căn cứ</t>
  </si>
  <si>
    <t>Chuẩn nội dung</t>
  </si>
  <si>
    <t>Ưu tiên v4.1; AI 2.1 chỉ lấy kiến trúc và cách đánh giá</t>
  </si>
  <si>
    <t>W1.1/W4.1 chốt trước triển khai</t>
  </si>
  <si>
    <t>AI còn bám v3.0; v4.1 thay thế tuyến cũ</t>
  </si>
  <si>
    <t>Giới hạn AI</t>
  </si>
  <si>
    <t>Chỉ nhận diện ý định tại S03; thoại mẫu, hành động do game kiểm</t>
  </si>
  <si>
    <t>TV4 + TV2</t>
  </si>
  <si>
    <t>Không tự sinh bằng chứng, đồng ý hoặc kết thúc</t>
  </si>
  <si>
    <t>AI tr.9–13; đề xuất áp dụng sang v4.1</t>
  </si>
  <si>
    <t>Mốc trong truyện</t>
  </si>
  <si>
    <t>16:45 chụp; 17:10 Nhi đi; 17:30 tháo quầy</t>
  </si>
  <si>
    <t>TV1 + TV2</t>
  </si>
  <si>
    <t>Tách lịch truyện 07–09/05 khỏi lịch sản xuất 18/10–05/11</t>
  </si>
  <si>
    <t>Kịch bản tr.14–15</t>
  </si>
  <si>
    <t>Quyền nội dung</t>
  </si>
  <si>
    <t>Xem nguồn nội bộ không đồng nghĩa quyền công bố</t>
  </si>
  <si>
    <t>Hỏi đúng phạm vi ảnh; không tự suy từ đã xem/đã nhận lời</t>
  </si>
  <si>
    <t>Kịch bản tr.18,20</t>
  </si>
  <si>
    <t>Tiến độ</t>
  </si>
  <si>
    <t>Mỗi ngày cập nhật trạng thái và link/vướng mắc</t>
  </si>
  <si>
    <t>Mỗi owner</t>
  </si>
  <si>
    <t>Chờ kiểm khác Đã tích hợp; người nhận xác nhận đầu ra</t>
  </si>
  <si>
    <t>Tham khảo cách quản lý của Excel mẫu</t>
  </si>
  <si>
    <t>Sửa schema/biến trạng thái báo người nhận trước khi ghép</t>
  </si>
  <si>
    <t>TV2 + owner</t>
  </si>
  <si>
    <t>Có mẫu mới và người nhận nạp thử; TV1 duyệt nghĩa truyện</t>
  </si>
  <si>
    <t>Đề xuất tổ chức công việc</t>
  </si>
  <si>
    <t>Tải công việc</t>
  </si>
  <si>
    <t>TV4 hỗ trợ kiểm thử/tích hợp sau khi xong adapter; TV1/3 tự chuẩn bị dữ liệu</t>
  </si>
  <si>
    <t>Nếu TV2 quá tải thì giảm biến thể và giao hỗ trợ, giữ hai đường sân</t>
  </si>
  <si>
    <t>Giờ công là ước lượng đề xuất</t>
  </si>
  <si>
    <t>Playtest</t>
  </si>
  <si>
    <t>Ít nhất 5 bạn nữ, thêm người khác nếu có; cùng cảnh cho A/B/C</t>
  </si>
  <si>
    <t>Hoán đổi thứ tự thử; ghi thời gian và điểm kẹt; không gợi đáp án</t>
  </si>
  <si>
    <t>AI tr.12–13; kịch bản tr.20</t>
  </si>
  <si>
    <t>Quyết định AI</t>
  </si>
  <si>
    <t>Giữ/thu hẹp/bỏ theo dữ liệu so với cả A và B</t>
  </si>
  <si>
    <t>TV5 + TV4</t>
  </si>
  <si>
    <t>Không có lỗi nghiêm trọng trên bộ thử; có lợi ích quan sát được; chi phí/độ trễ phù hợp</t>
  </si>
  <si>
    <t>AI tr.12–14</t>
  </si>
  <si>
    <t>Ngưỡng kỹ thuật</t>
  </si>
  <si>
    <t>Đề xuất p95 ≤ 3 giây; timeout 5 giây rồi nút dự phòng; chốt 20/10</t>
  </si>
  <si>
    <t>TV4 + TV5</t>
  </si>
  <si>
    <t>Đề xuất vận hành, không phải số liệu PDF hay kết quả đã đo</t>
  </si>
  <si>
    <t>Nhóm có thể sửa trước G0</t>
  </si>
  <si>
    <t>Ngân sách AI</t>
  </si>
  <si>
    <t>Chốt trần chi phí/lượt chơi ngày 20/10 từ ngân sách thực</t>
  </si>
  <si>
    <t>Đo chi phí thực trước G3; chưa có ngân sách thì không kết luận đạt chi phí</t>
  </si>
  <si>
    <t>Chưa có số ngân sách trong nguồn</t>
  </si>
  <si>
    <t>Hạn nộp</t>
  </si>
  <si>
    <t>05/11/2026 23:59 theo PDF AI; nội bộ đặt 20:00</t>
  </si>
  <si>
    <t>Kiểm lại thể lệ ở W5.1; chuẩn bị biên nhận nộp</t>
  </si>
  <si>
    <t>AI tr.1,14; chưa kiểm ngoài tài liệu</t>
  </si>
  <si>
    <t>Nguồn</t>
  </si>
  <si>
    <t>Phiên bản / phạm vi</t>
  </si>
  <si>
    <t>Dùng cho</t>
  </si>
  <si>
    <t>Thứ tự ưu tiên</t>
  </si>
  <si>
    <t>Ghi chú</t>
  </si>
  <si>
    <t>CIVI_kich_ban_v4_1.pdf</t>
  </si>
  <si>
    <t>v4.1, 18/10/2026, 20 trang</t>
  </si>
  <si>
    <t>Truyện, cảnh, biến trạng thái, MVP, danh mục ảnh và QA</t>
  </si>
  <si>
    <t>Chuẩn nội dung cao nhất</t>
  </si>
  <si>
    <t>Tr.17–20 là phần triển khai; tr.3 bỏ tuyến v3.0</t>
  </si>
  <si>
    <t>CIVI_AI_2_1_FIXED.pdf</t>
  </si>
  <si>
    <t>AI 2.1, 18/10/2026, 15 trang</t>
  </si>
  <si>
    <t>Intent, validator, dự phòng, A/B/C, chi phí, lịch FORGE</t>
  </si>
  <si>
    <t>Cơ chế kỹ thuật; thay ví dụ truyện cũ bằng v4.1</t>
  </si>
  <si>
    <t>Tr.1,7,10–11 còn tham chiếu v3.0; không bê nguyên</t>
  </si>
  <si>
    <t>SafeRoute_VN  (1).xlsx</t>
  </si>
  <si>
    <t>3 sheet, dự án SafeRoute, 4 người</t>
  </si>
  <si>
    <t>Tham khảo owner, input/output, bàn giao, trạng thái</t>
  </si>
  <si>
    <t>CIVI - Công việc và tiêu chí bàn giao</t>
  </si>
  <si>
    <t>Chỉ tham khảo cấu trúc quản lý</t>
  </si>
  <si>
    <t>Không lấy tên, công nghệ hoặc hạn 15/10 của dự án cũ</t>
  </si>
  <si>
    <t>Đặng Hoàng Long Vũ</t>
  </si>
  <si>
    <t>Lịch và giờ công là đề xuất. Trạng thái thực tế chờ thành viên cập nhật. Mỗi đầu việc chỉ có một người chịu trách nhiệm chính.</t>
  </si>
  <si>
    <t>Lập trình game và tích hợp</t>
  </si>
  <si>
    <t>Chạy cảnh, trạng thái, save/load, ảnh/video, luật quyền, hai đường sân, build</t>
  </si>
  <si>
    <t>TV1 / TV3 / TV4</t>
  </si>
  <si>
    <t>P0: toàn bộ đầu việc trong bảng phục vụ MVP và hồ sơ. Phần mở rộng chỉ làm sau mốc khóa bản, xem 03_Ban_giao.</t>
  </si>
  <si>
    <t>Mã</t>
  </si>
  <si>
    <t>Đầu việc</t>
  </si>
  <si>
    <t>Kiểm / nhận</t>
  </si>
  <si>
    <t>Bắt đầu</t>
  </si>
  <si>
    <t>Hạn bàn giao</t>
  </si>
  <si>
    <t>Nguyễn Nhật Thành</t>
  </si>
  <si>
    <t>Hình ảnh, UI và âm thanh</t>
  </si>
  <si>
    <t>Ảnh S00/044x, video, sơ đồ, hai bối cảnh, UI nháp, ảnh kết, video demo</t>
  </si>
  <si>
    <t>TV1 / TV2 / TV5</t>
  </si>
  <si>
    <t>Phụ thuộc</t>
  </si>
  <si>
    <t>Sản phẩm bàn giao</t>
  </si>
  <si>
    <t>Đạt khi</t>
  </si>
  <si>
    <t>Trạng thái</t>
  </si>
  <si>
    <t>Link / vướng mắc</t>
  </si>
  <si>
    <t>W1.1</t>
  </si>
  <si>
    <t>Nguyễn Võ An Vi</t>
  </si>
  <si>
    <t>AI và đánh giá kỹ thuật</t>
  </si>
  <si>
    <t>Bản B quy tắc, C AI, intent/schema, validator, fallback, số đo và chi phí</t>
  </si>
  <si>
    <t>Đối chiếu AI 2.1 với truyện v4.1; khóa phạm vi MVP</t>
  </si>
  <si>
    <t>TV2 + TV4</t>
  </si>
  <si>
    <t>Không</t>
  </si>
  <si>
    <t>Bảng thay thế chi tiết v3; danh sách cảnh giữ/rút gọn</t>
  </si>
  <si>
    <t>Đỗ Phú Vinh</t>
  </si>
  <si>
    <t>Điều phối, QA, kinh doanh và hồ sơ</t>
  </si>
  <si>
    <t>Loại bảng ca/ghép chứng từ; ảnh 0443 thật có ba người; chọn S03 để thử AI.</t>
  </si>
  <si>
    <t>Nguồn lực, tuyển người thử, test nhánh/A-B-C, nhu cầu khách hàng, hồ sơ và nộp bài</t>
  </si>
  <si>
    <t>Cả nhóm</t>
  </si>
  <si>
    <t>Tổng giờ dự kiến</t>
  </si>
  <si>
    <t>W1.2</t>
  </si>
  <si>
    <t>Khóa trạng thái, quyền ảnh/video, kiến thức NPC</t>
  </si>
  <si>
    <t>Giờ công ước lượng, không gồm thời gian chờ. TV2 có tải cao nhất; TV4 hỗ trợ kiểm thử/tích hợp từ 26/10.</t>
  </si>
  <si>
    <t>MVP: 12–20 phút, hai đường ở sân và trang kết; chưa cam kết đủ mọi biến thể kết A/B/C.</t>
  </si>
  <si>
    <t>Bảng trạng thái + kho sự thật v4.1 + quyền theo cảnh</t>
  </si>
  <si>
    <t>Mốc</t>
  </si>
  <si>
    <t>Từ</t>
  </si>
  <si>
    <t>Đến</t>
  </si>
  <si>
    <t>Phân biệt nhận lời, có mặt và cho dùng ảnh; NPC chỉ biết nguồn đã được phép.</t>
  </si>
  <si>
    <t>Kết quả phải có</t>
  </si>
  <si>
    <t>Người giữ mốc</t>
  </si>
  <si>
    <t>Người kiểm</t>
  </si>
  <si>
    <t>Quyết định khi thiếu</t>
  </si>
  <si>
    <t>G0</t>
  </si>
  <si>
    <t>Khóa v4.1, cảnh S03 thử AI, schema và tài sản mẫu</t>
  </si>
  <si>
    <t>Bỏ ví dụ AI dựa trên v3; TV5 chốt người và lịch rảnh</t>
  </si>
  <si>
    <t>G1</t>
  </si>
  <si>
    <t>Cảnh S03 có A/B và C thử được; các cảnh MVP sẵn nội dung</t>
  </si>
  <si>
    <t>TV1 + TV5</t>
  </si>
  <si>
    <t>C chưa ổn thì thử A/B, không chặn game</t>
  </si>
  <si>
    <t>G2</t>
  </si>
  <si>
    <t>MVP hai nhánh sân; playtest và số đo A/B/C</t>
  </si>
  <si>
    <t>TV1 + TV4</t>
  </si>
  <si>
    <t>Giữ thao tác nhánh vắng, cắt trang trí và biến thể phụ</t>
  </si>
  <si>
    <t>G3</t>
  </si>
  <si>
    <t>Chốt giữ/thu hẹp/bỏ AI; sửa lỗi nghiêm trọng; khóa nội dung</t>
  </si>
  <si>
    <t>Không tăng phạm vi; tắt C nếu không đạt tiêu chí</t>
  </si>
  <si>
    <t>G4</t>
  </si>
  <si>
    <t>Build ổn định, video, bằng chứng, hồ sơ và diễn tập</t>
  </si>
  <si>
    <t>TV2 + TV3</t>
  </si>
  <si>
    <t>Quay trên bản khóa; dùng bản offline nếu mạng lỗi</t>
  </si>
  <si>
    <t>G5</t>
  </si>
  <si>
    <t>Nộp mục tiêu 20:00, lưu xác nhận trước 23:59</t>
  </si>
  <si>
    <t>TV2 + người kiểm chéo</t>
  </si>
  <si>
    <t>Sửa lỗi nộp/link trong khoảng dự phòng cuối ngày</t>
  </si>
  <si>
    <t>Thứ tự ưu tiên khi thiếu thời gian</t>
  </si>
  <si>
    <t>1. Giữ game không AI chạy trọn hai đường sân, quyền ảnh đúng và lưu ảnh kết.</t>
  </si>
  <si>
    <t>W1.3</t>
  </si>
  <si>
    <t>2. Giữ thử nghiệm A/B/C tại một cảnh. Cắt cảnh AI thứ hai, thoại AI tự sinh và kết phụ.</t>
  </si>
  <si>
    <t>Viết gói cảnh S00/S01 và S02 rút gọn</t>
  </si>
  <si>
    <t>3. Dành 01–04/11 cho hồ sơ và sửa lỗi. Mọi tính năng thêm phải đổi bằng một đầu việc tương đương.</t>
  </si>
  <si>
    <t>Chưa cập nhật = chưa biết trạng thái. Chỉ chọn Đã tích hợp khi người nhận mở và kiểm được sản phẩm.</t>
  </si>
  <si>
    <t>Thoại, lựa chọn, chuyển cảnh, chỉ dẫn đạo cụ</t>
  </si>
  <si>
    <t>S00 có đủ bốn, hai ảnh hỏng, cử chỉ; S01 giải thích Minh rút trang theo tin An.</t>
  </si>
  <si>
    <t>W1.4</t>
  </si>
  <si>
    <t>Viết S03/S04 và phản hồi câu tự do của Hạ</t>
  </si>
  <si>
    <t>Cảnh ảnh/video + phản hồi theo intent và trạng thái</t>
  </si>
  <si>
    <t>Không kéo Nhi ra từ 0443; video cho thấy An đưa máy và quên lời hẹn; không lộ nguồn chưa xem.</t>
  </si>
  <si>
    <t>W1.5</t>
  </si>
  <si>
    <t>Viết S05/S06/S07 và lựa chọn thu hồi nháp</t>
  </si>
  <si>
    <t>TV2 + TV5</t>
  </si>
  <si>
    <t>Ba mẫu nháp; phản hồi Nhi; tranh luận Hạ; lời mời</t>
  </si>
  <si>
    <t>Hiểu sớm không bị ép sai; thu hồi nháp cần báo người từng xem; Hạ có thể chỉ bàn giao.</t>
  </si>
  <si>
    <t>W1.6</t>
  </si>
  <si>
    <t>Viết S08/S09-A/S09-B/S10 và ảnh kết MVP</t>
  </si>
  <si>
    <t>Hai đường ở sân; ba lựa chọn khi Nhi vắng; trang kết</t>
  </si>
  <si>
    <t>Nhi từ chối/chưa nhận lời không tự xuất hiện; nhánh vắng vẫn có thao tác và hiện vật cuối.</t>
  </si>
  <si>
    <t>W1.7</t>
  </si>
  <si>
    <t>Sửa nhịp truyện theo quan sát người thử</t>
  </si>
  <si>
    <t>TV5 + TV2</t>
  </si>
  <si>
    <t>W5.3; W5.4</t>
  </si>
  <si>
    <t>Gói thoại/cảnh đã sửa có mã phiên bản</t>
  </si>
  <si>
    <t>Hạ không bị hiểu thành phản diện đơn giản; hai nhánh sân có hệ quả nhìn thấy; không giáo huấn.</t>
  </si>
  <si>
    <t>W1.8</t>
  </si>
  <si>
    <t>Khóa nội dung, duyệt video và mô tả tính năng</t>
  </si>
  <si>
    <t>W1.7; W5.5</t>
  </si>
  <si>
    <t>Nội dung cuối + lời giới thiệu và phụ đề đã duyệt</t>
  </si>
  <si>
    <t>Video và hồ sơ phản ánh bản chạy thật; giữ nguyên sự kiện, quyền từ chối và giới hạn MVP.</t>
  </si>
  <si>
    <t>W2.1</t>
  </si>
  <si>
    <t>Chọn nền tảng game; chốt dữ liệu và mẫu tích hợp</t>
  </si>
  <si>
    <t>W1.1 (bản nháp)</t>
  </si>
  <si>
    <t>Dự án chạy được; scene/state/intent schemas; ví dụ JSON</t>
  </si>
  <si>
    <t>TV1/3/4 nạp cùng mẫu được; giữ nền tảng hiện có nếu có; không xây lại engine.</t>
  </si>
  <si>
    <t>W2.2</t>
  </si>
  <si>
    <t>Làm bộ chạy cảnh, trạng thái và lưu/đọc tiến độ</t>
  </si>
  <si>
    <t>W2.1; W1.2</t>
  </si>
  <si>
    <t>Runtime, save/load, lịch sự kiện và kiểm quyền</t>
  </si>
  <si>
    <t>Pending không thành accepted; đọc thoại không làm thời gian truyện tự trôi; lưu/đọc giữ đúng nhánh.</t>
  </si>
  <si>
    <t>W2.3</t>
  </si>
  <si>
    <t>Ghép S00/S01/S02 ngắn và S03/S04</t>
  </si>
  <si>
    <t>TV1 + TV3</t>
  </si>
  <si>
    <t>W2.1; W1.3; W1.4</t>
  </si>
  <si>
    <t>Bản đầu chơi được bằng nút, xem ảnh và video</t>
  </si>
  <si>
    <t>Đủ bốn ở mở đầu; vật chứng mở được theo luật; placeholder được thay khi tài sản bàn giao.</t>
  </si>
  <si>
    <t>W2.4</t>
  </si>
  <si>
    <t>Ghép dựng nháp, phản hồi, Hạ và lời mời Nhi</t>
  </si>
  <si>
    <t>W2.2; W1.5</t>
  </si>
  <si>
    <t>S05/S06/S07 với bản xem trước và người nhận</t>
  </si>
  <si>
    <t>Không tự gửi nhóm lớp; người đã xem nháp vẫn nhớ; chỉ bàn giao vẫn cho phép đi tiếp.</t>
  </si>
  <si>
    <t>W2.5</t>
  </si>
  <si>
    <t>Ghép hai nhánh sân và trang kết rút gọn</t>
  </si>
  <si>
    <t>W2.2; W1.6</t>
  </si>
  <si>
    <t>S08/S09-A/S09-B/S10 + lưu ảnh kết</t>
  </si>
  <si>
    <t>Nhi vắng có chụp ba người/thu đồ/đề nghị hẹn khác; đúng người và phạm vi ảnh; đủ luồng 12–20 phút để thử.</t>
  </si>
  <si>
    <t>W2.6</t>
  </si>
  <si>
    <t>Kết nối ba chế độ A/B/C và dự phòng mất mạng</t>
  </si>
  <si>
    <t>W4.2; W4.3; W4.4</t>
  </si>
  <si>
    <t>Một cảnh S03 dùng chung luật cho A/B/C</t>
  </si>
  <si>
    <t>A = nút; B = quy tắc; C = AI. AI lỗi vẫn quay lại nút, giữ nháp và tiến độ.</t>
  </si>
  <si>
    <t>W2.7</t>
  </si>
  <si>
    <t>Sửa lỗi nhánh, quyền ảnh và lỗi tích hợp</t>
  </si>
  <si>
    <t>TV5 + TV1</t>
  </si>
  <si>
    <t>Bản ổn định + kết quả chạy lại hai nhánh</t>
  </si>
  <si>
    <t>Không có lỗi chặn hoàn thành, dùng ảnh trái quyền hay sai sự thật trên bộ thử; kiểm lại save/load.</t>
  </si>
  <si>
    <t>W2.8</t>
  </si>
  <si>
    <t>Đóng gói, hướng dẫn chạy và kiểm bản nộp</t>
  </si>
  <si>
    <t>W2.7; W4.7</t>
  </si>
  <si>
    <t>Bản build cuối; hướng dẫn; bản dự phòng offline</t>
  </si>
  <si>
    <t>Máy khác khởi chạy và hoàn tất hai đường; gói nộp không chứa khóa API; khóa bản trước quay video.</t>
  </si>
  <si>
    <t>W3.1</t>
  </si>
  <si>
    <t>Chốt phong cách, danh mục và quy cách tài sản</t>
  </si>
  <si>
    <t>W1.1; W2.1 (bản nháp)</t>
  </si>
  <si>
    <t>Asset list có ID, kích thước, quyền dùng, nơi dùng lại</t>
  </si>
  <si>
    <t>Ưu tiên ảnh S00, 0443, sơ đồ, phòng thiết kế và sân; thống nhất format với TV2.</t>
  </si>
  <si>
    <t>W3.2</t>
  </si>
  <si>
    <t>Làm ảnh mở đầu và sơ đồ tia chớp</t>
  </si>
  <si>
    <t>W3.1; W1.3</t>
  </si>
  <si>
    <t>Ảnh đủ bốn, hai ảnh hỏng, sơ đồ hai ô, bảng HẸN</t>
  </si>
  <si>
    <t>Nhân vật/đạo cụ nhất quán; opening_gesture có biến thể hiển thị; nguồn tài sản rõ.</t>
  </si>
  <si>
    <t>W3.3</t>
  </si>
  <si>
    <t>Làm bộ 0441/0442/0443 và đoạn video điều tra</t>
  </si>
  <si>
    <t>W3.1; W1.4</t>
  </si>
  <si>
    <t>Ba ảnh, cận kẹp trống, video/animatic có âm và phụ đề</t>
  </si>
  <si>
    <t>0443 thực sự có ba người; video kể được chín giây và lời An; không dùng tư liệu chưa có quyền.</t>
  </si>
  <si>
    <t>W3.4</t>
  </si>
  <si>
    <t>Làm giao diện thoại, ảnh, ba mẫu nháp và bản xem trước</t>
  </si>
  <si>
    <t>TV2 + TV1</t>
  </si>
  <si>
    <t>W3.1; W1.5</t>
  </si>
  <si>
    <t>UI kit và mẫu tribute/paired/memory, trạng thái loading/lỗi</t>
  </si>
  <si>
    <t>Chữ dễ đọc; thấy người nhận/phạm vi trước gửi; nút dự phòng dễ tìm; không hiện điểm đạo đức.</t>
  </si>
  <si>
    <t>W3.5</t>
  </si>
  <si>
    <t>Làm sân, đạo cụ và ảnh kết hai đường</t>
  </si>
  <si>
    <t>W1.6; W3.2</t>
  </si>
  <si>
    <t>Phòng thiết kế, sân, pin/kẹp/bảng, ảnh bốn/ba/không ảnh mới</t>
  </si>
  <si>
    <t>Bảng cảm ơn chỉ hiện khi đã chuẩn bị và chưa gỡ; nhánh vắng có hình kết riêng.</t>
  </si>
  <si>
    <t>W3.6</t>
  </si>
  <si>
    <t>Âm thanh, phụ đề và ghép tài sản vào build</t>
  </si>
  <si>
    <t>W3.2; W3.3; W3.4; W3.5</t>
  </si>
  <si>
    <t>Gói tài sản cuối + âm hẹn giờ + phụ đề kiểm tra</t>
  </si>
  <si>
    <t>Không thiếu file/font/âm; âm không che thoại; mọi tài sản chính đã được TV2 nạp thử.</t>
  </si>
  <si>
    <t>W3.7</t>
  </si>
  <si>
    <t>Sửa độ rõ, nhịp nhìn và tính nhất quán từ playtest</t>
  </si>
  <si>
    <t>W5.3; W3.6</t>
  </si>
  <si>
    <t>UI/ảnh/âm đã chỉnh trên bản tích hợp</t>
  </si>
  <si>
    <t>Người thử tìm được thao tác; ảnh/video dễ so; nhánh Nhi vắng không trông như thiếu nội dung.</t>
  </si>
  <si>
    <t>W3.8</t>
  </si>
  <si>
    <t>Quay, dựng video demo và hình cho hồ sơ</t>
  </si>
  <si>
    <t>W5.5; W2.8 (bản khóa 01/11)</t>
  </si>
  <si>
    <t>Video, phụ đề, ảnh chụp build thật</t>
  </si>
  <si>
    <t>Thể hiện hai hệ quả; AI chỉ giới thiệu nếu còn trong build; thời lượng/định dạng theo thể lệ TV5 kiểm.</t>
  </si>
  <si>
    <t>W4.1</t>
  </si>
  <si>
    <t>Chuyển đặc tả AI sang S03 của v4.1</t>
  </si>
  <si>
    <t>W1.1; W1.2</t>
  </si>
  <si>
    <t>Danh sách intent, target, schema và phản hồi được duyệt</t>
  </si>
  <si>
    <t>Bỏ ví dụ bảng ca/ghi công v3; không kết luận Hạ xóa Nhi khỏi 0443; không làm thêm cảnh AI thứ hai.</t>
  </si>
  <si>
    <t>W4.2</t>
  </si>
  <si>
    <t>Làm bản B: nhập tự do bằng từ khóa/quy tắc</t>
  </si>
  <si>
    <t>W4.1; W2.1</t>
  </si>
  <si>
    <t>Bộ nhận diện quy tắc + bộ câu minh họa</t>
  </si>
  <si>
    <t>Không nhận rõ thì hỏi lại; cùng intent và cùng hành động hợp lệ với A/C.</t>
  </si>
  <si>
    <t>W4.3</t>
  </si>
  <si>
    <t>Làm bản C: AI trả ý định có cấu trúc</t>
  </si>
  <si>
    <t>AI adapter, cấu hình timeout và validate JSON</t>
  </si>
  <si>
    <t>Chỉ trả mã được phép và ambiguity; khóa API ở phía dịch vụ phù hợp; không trực tiếp sửa state/chứng cứ.</t>
  </si>
  <si>
    <t>W4.4</t>
  </si>
  <si>
    <t>Chặn sai quyền, lộ nguồn và xử lý lỗi</t>
  </si>
  <si>
    <t>W4.1; W4.3 (bản nháp)</t>
  </si>
  <si>
    <t>Validator + phản hồi mẫu + đường lui về nút</t>
  </si>
  <si>
    <t>Game kiểm quyền sau AI; lỗi/chậm/JSON sai dùng dự phòng; không tự gửi nháp hoặc công bố ảnh/video.</t>
  </si>
  <si>
    <t>W4.5</t>
  </si>
  <si>
    <t>Làm bộ thử độc lập và ghi số đo A/B/C</t>
  </si>
  <si>
    <t>W4.1; W4.2; W4.3</t>
  </si>
  <si>
    <t>Tập câu dev/test tách nhau; log intent/target/lỗi/độ trễ/chi phí</t>
  </si>
  <si>
    <t>Có câu nhiều ý, mơ hồ, sai sự thật, dụ bỏ luật; không dùng câu test để chỉnh rồi báo cùng tập là kết quả mới.</t>
  </si>
  <si>
    <t>W4.6</t>
  </si>
  <si>
    <t>Chạy đánh giá, phân tích lỗi và đề xuất giữ/thu hẹp/bỏ</t>
  </si>
  <si>
    <t>W2.6; W4.5; W5.4</t>
  </si>
  <si>
    <t>Bảng so A/B/C + số gọi và chi phí/lượt chơi thực đo</t>
  </si>
  <si>
    <t>Đo độ đúng intent/target, thời gian, fallback, lỗi nghiêm trọng; tách số kỹ thuật và nhận xét mẫu nhỏ.</t>
  </si>
  <si>
    <t>W4.7</t>
  </si>
  <si>
    <t>Chốt phương án AI và cấu hình bản cuối</t>
  </si>
  <si>
    <t>W4.6; W5.5</t>
  </si>
  <si>
    <t>Quyết định + cấu hình final + bản không AI dự phòng</t>
  </si>
  <si>
    <t>Giữ khi có lợi ích hơn A/B và đạt ngưỡng đã chốt; thiếu bằng chứng thì thu hẹp hoặc tắt AI.</t>
  </si>
  <si>
    <t>W4.8</t>
  </si>
  <si>
    <t>Viết bằng chứng AI, chi phí và hỗ trợ bản nộp</t>
  </si>
  <si>
    <t>Mô tả kỹ thuật, số đo và giới hạn đã kiểm</t>
  </si>
  <si>
    <t>Không gọi state/hint là AI; không bịa đơn giá; không khẳng định hiệu quả giáo dục rộng từ mẫu nhỏ.</t>
  </si>
  <si>
    <t>W5.1</t>
  </si>
  <si>
    <t>Điều phối, xác nhận nguồn lực và yêu cầu hồ sơ</t>
  </si>
  <si>
    <t>Gán tên TV1–TV5, lịch rảnh, checklist thể lệ và đầu ra</t>
  </si>
  <si>
    <t>Cả nhóm xác nhận vai trò; kiểm lại hạn 05/11 23:59 từ nguồn cuộc thi; chọn nền tảng hiện có.</t>
  </si>
  <si>
    <t>W5.2</t>
  </si>
  <si>
    <t>Lập bộ thử nhánh và kế hoạch A/B/C</t>
  </si>
  <si>
    <t>W1.2; W4.1</t>
  </si>
  <si>
    <t>Test matrix, biểu mẫu quan sát, thứ tự A/B/C hoán đổi</t>
  </si>
  <si>
    <t>Có Nhi accepted/pending/declined/rời sớm; kiểm Hạ chỉ bàn giao, người hiểu sớm, quyền nội bộ và save/load.</t>
  </si>
  <si>
    <t>W5.3</t>
  </si>
  <si>
    <t>Chơi thử game, ghi lỗi và kiểm lại bản sửa</t>
  </si>
  <si>
    <t>TV1 + TV2 + TV3</t>
  </si>
  <si>
    <t>W2.5; W3.5; W5.2</t>
  </si>
  <si>
    <t>Ghi chép ít nhất 5 bạn nữ và người khác nếu có; danh sách lỗi</t>
  </si>
  <si>
    <t>Mời theo tài liệu AI; ghi thời lượng, điểm kẹt, Hạ/nhánh vắng; mỗi lỗi có bước lặp lại, owner và mức độ.</t>
  </si>
  <si>
    <t>W5.4</t>
  </si>
  <si>
    <t>Tổ chức so sánh A/B/C trên cùng cảnh S03</t>
  </si>
  <si>
    <t>TV4 + TV1</t>
  </si>
  <si>
    <t>W2.6; W4.5; W5.2</t>
  </si>
  <si>
    <t>Kết quả trải nghiệm theo phiên bản và thứ tự thử</t>
  </si>
  <si>
    <t>Không gợi đáp án về công bằng; ghi tỷ lệ hoàn thành, số hỏi lại, cảm giác chủ động; nêu hạn chế mẫu nhỏ.</t>
  </si>
  <si>
    <t>W5.5</t>
  </si>
  <si>
    <t>Họp chốt AI, phạm vi và ưu tiên sửa trước khóa build</t>
  </si>
  <si>
    <t>W5.3; W5.4; W4.6 (bản nháp)</t>
  </si>
  <si>
    <t>Biên bản giữ/thu hẹp/bỏ AI + danh sách lỗi phải sửa</t>
  </si>
  <si>
    <t>Mọi lỗi sai quyền/sự thật và chặn hoàn thành có người sửa; không mở rộng full game lúc này.</t>
  </si>
  <si>
    <t>W5.6</t>
  </si>
  <si>
    <t>Kiểm chứng nhu cầu và cập nhật mô hình kinh doanh</t>
  </si>
  <si>
    <t>W5.1; W4.6 (chi phí thực đo đến sau)</t>
  </si>
  <si>
    <t>Ghi chép trao đổi khách hàng tiềm năng, nhu cầu, gói triển khai, chi phí</t>
  </si>
  <si>
    <t>Tách nhu cầu đã nghe khỏi giả thuyết; dùng chi phí AI thực đo; không tự khẳng định có khách hàng/doanh thu.</t>
  </si>
  <si>
    <t>W5.7</t>
  </si>
  <si>
    <t>Biên tập hồ sơ FORGE, tổng hợp bằng chứng và diễn tập</t>
  </si>
  <si>
    <t>TV1 + TV3 + TV4</t>
  </si>
  <si>
    <t>W5.5; W5.6; W4.8; W3.8 (bản nháp)</t>
  </si>
  <si>
    <t>Hồ sơ, slide theo yêu cầu, link build/video, nhật ký kiểm tra</t>
  </si>
  <si>
    <t>Mô tả đúng bản final; link mở được trên máy khác; có demo offline và người trình bày dự phòng.</t>
  </si>
  <si>
    <t>W5.8</t>
  </si>
  <si>
    <t>Kiểm checklist cuối và nộp bài</t>
  </si>
  <si>
    <t>TV2 + một người kiểm chéo</t>
  </si>
  <si>
    <t>W2.8; W5.7; W3.8; W1.8</t>
  </si>
  <si>
    <t>Bản nộp + ảnh/xác nhận nộp + bản sao lưu</t>
  </si>
  <si>
    <t>Mục tiêu nội bộ 20:00 ngày 05/11; kiểm đủ tệp/link/quyền truy cập; lưu xác nhận trước 23:59.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</si>
</sst>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dd/mm"/>
    <numFmt numFmtId="165" formatCode="dd/mm/yyyy"/>
  </numFmts>
  <fonts count="5">
    <font>
      <sz val="11.0"/>
      <color rgb="FF000000"/>
      <name val="Carlito"/>
      <scheme val="minor"/>
    </font>
    <font>
      <sz val="10.0"/>
      <color rgb="FF182B3A"/>
      <name val="Arial"/>
    </font>
    <font>
      <b/>
      <sz val="16.0"/>
      <color rgb="FF203B56"/>
      <name val="Arial"/>
    </font>
    <font>
      <b/>
      <sz val="10.0"/>
      <color rgb="FFFFFFFF"/>
      <name val="Arial"/>
    </font>
    <font>
      <b/>
      <sz val="10.0"/>
      <color rgb="FF182B3A"/>
      <name val="Arial"/>
    </font>
  </fonts>
  <fills count="6">
    <fill>
      <patternFill patternType="none"/>
    </fill>
    <fill>
      <patternFill patternType="lightGray"/>
    </fill>
    <fill>
      <patternFill patternType="solid">
        <fgColor rgb="FF203B56"/>
        <bgColor rgb="FF203B56"/>
      </patternFill>
    </fill>
    <fill>
      <patternFill patternType="solid">
        <fgColor rgb="FFFFF2CC"/>
        <bgColor rgb="FFFFF2CC"/>
      </patternFill>
    </fill>
    <fill>
      <patternFill patternType="solid">
        <fgColor rgb="FFEEF2F6"/>
        <bgColor rgb="FFEEF2F6"/>
      </patternFill>
    </fill>
    <fill>
      <patternFill patternType="solid">
        <fgColor rgb="FFF4F7FA"/>
        <bgColor rgb="FFF4F7FA"/>
      </patternFill>
    </fill>
  </fills>
  <borders count="3">
    <border/>
    <border>
      <bottom style="thin">
        <color rgb="FF256B63"/>
      </bottom>
    </border>
    <border>
      <left/>
      <right/>
      <top/>
      <bottom/>
    </border>
  </borders>
  <cellStyleXfs count="1">
    <xf borderId="0" fillId="0" fontId="0" numFmtId="0" applyAlignment="1" applyFont="1"/>
  </cellStyleXfs>
  <cellXfs count="2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vertical="center"/>
    </xf>
    <xf borderId="0" fillId="0" fontId="2" numFmtId="0" xfId="0" applyAlignment="1" applyFont="1">
      <alignment vertical="center"/>
    </xf>
    <xf borderId="1" fillId="0" fontId="1" numFmtId="0" xfId="0" applyAlignment="1" applyBorder="1" applyFont="1">
      <alignment vertical="center"/>
    </xf>
    <xf borderId="2" fillId="2" fontId="3" numFmtId="0" xfId="0" applyAlignment="1" applyBorder="1" applyFill="1" applyFont="1">
      <alignment horizontal="center" shrinkToFit="0" vertical="center" wrapText="1"/>
    </xf>
    <xf borderId="0" fillId="0" fontId="1" numFmtId="0" xfId="0" applyAlignment="1" applyFont="1">
      <alignment shrinkToFit="0" vertical="center" wrapText="1"/>
    </xf>
    <xf borderId="0" fillId="0" fontId="1" numFmtId="164" xfId="0" applyAlignment="1" applyFont="1" applyNumberFormat="1">
      <alignment shrinkToFit="0" vertical="center" wrapText="1"/>
    </xf>
    <xf borderId="2" fillId="3" fontId="1" numFmtId="0" xfId="0" applyAlignment="1" applyBorder="1" applyFill="1" applyFont="1">
      <alignment readingOrder="0" shrinkToFit="0" vertical="center" wrapText="1"/>
    </xf>
    <xf borderId="0" fillId="0" fontId="1" numFmtId="1" xfId="0" applyAlignment="1" applyFont="1" applyNumberFormat="1">
      <alignment shrinkToFit="0" vertical="center" wrapText="1"/>
    </xf>
    <xf borderId="2" fillId="2" fontId="3" numFmtId="0" xfId="0" applyAlignment="1" applyBorder="1" applyFill="1" applyFont="1">
      <alignment horizontal="center" readingOrder="0" shrinkToFit="0" vertical="center" wrapText="1"/>
    </xf>
    <xf borderId="0" fillId="0" fontId="1" numFmtId="0" xfId="0" applyAlignment="1" applyFont="1">
      <alignment shrinkToFit="0" vertical="top" wrapText="1"/>
    </xf>
    <xf borderId="0" fillId="0" fontId="1" numFmtId="165" xfId="0" applyAlignment="1" applyFont="1" applyNumberFormat="1">
      <alignment shrinkToFit="0" vertical="top" wrapText="1"/>
    </xf>
    <xf borderId="0" fillId="0" fontId="1" numFmtId="1" xfId="0" applyAlignment="1" applyFont="1" applyNumberFormat="1">
      <alignment shrinkToFit="0" vertical="top" wrapText="1"/>
    </xf>
    <xf borderId="2" fillId="3" fontId="1" numFmtId="0" xfId="0" applyAlignment="1" applyBorder="1" applyFill="1" applyFont="1">
      <alignment shrinkToFit="0" vertical="top" wrapText="1"/>
    </xf>
    <xf borderId="2" fillId="4" fontId="4" numFmtId="0" xfId="0" applyAlignment="1" applyBorder="1" applyFill="1" applyFont="1">
      <alignment vertical="center"/>
    </xf>
    <xf borderId="2" fillId="4" fontId="4" numFmtId="1" xfId="0" applyAlignment="1" applyBorder="1" applyFill="1" applyFont="1" applyNumberFormat="1">
      <alignment vertical="center"/>
    </xf>
    <xf borderId="0" fillId="0" fontId="4" numFmtId="0" xfId="0" applyAlignment="1" applyFont="1">
      <alignment vertical="center"/>
    </xf>
    <xf borderId="2" fillId="5" fontId="1" numFmtId="0" xfId="0" applyAlignment="1" applyBorder="1" applyFill="1" applyFont="1">
      <alignment shrinkToFit="0" vertical="top" wrapText="1"/>
    </xf>
    <xf borderId="2" fillId="5" fontId="1" numFmtId="165" xfId="0" applyAlignment="1" applyBorder="1" applyFill="1" applyFont="1" applyNumberFormat="1">
      <alignment shrinkToFit="0" vertical="top" wrapText="1"/>
    </xf>
    <xf borderId="2" fillId="5" fontId="1" numFmtId="1" xfId="0" applyAlignment="1" applyBorder="1" applyFill="1" applyFont="1" applyNumberFormat="1">
      <alignment shrinkToFit="0" vertical="top" wrapText="1"/>
    </xf>
  </cellXfs>
  <cellStyles count="1">
    <cellStyle xfId="0" name="Normal" builtinId="0"/>
  </cellStyles>
  <dxfs count="7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b/>
        <color rgb="FF9C251E"/>
      </font>
      <fill>
        <patternFill patternType="solid">
          <fgColor rgb="FFFCE1DE"/>
          <bgColor rgb="FFFCE1DE"/>
        </patternFill>
      </fill>
      <border/>
    </dxf>
    <dxf>
      <font>
        <color rgb="FF235C37"/>
      </font>
      <fill>
        <patternFill patternType="solid">
          <fgColor rgb="FFE3F0E8"/>
          <bgColor rgb="FFE3F0E8"/>
        </patternFill>
      </fill>
      <border/>
    </dxf>
  </dxfs>
  <tableStyles count="1">
    <tableStyle count="4" pivot="0" name="02_Cong_viec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6:M46" displayName="CIVITasks" name="CIVITasks" id="1">
  <tableColumns count="13">
    <tableColumn name="Mã" id="1"/>
    <tableColumn name="Đầu việc" id="2"/>
    <tableColumn name="Phụ trách" id="3"/>
    <tableColumn name="Kiểm / nhận" id="4"/>
    <tableColumn name="Bắt đầu" id="5"/>
    <tableColumn name="Hạn bàn giao" id="6"/>
    <tableColumn name="Giờ dự kiến" id="7"/>
    <tableColumn name="Phụ thuộc" id="8"/>
    <tableColumn name="Sản phẩm bàn giao" id="9"/>
    <tableColumn name="Đạt khi" id="10"/>
    <tableColumn name="Trạng thái" id="11"/>
    <tableColumn name="Link / vướng mắc" id="12"/>
    <tableColumn name="Tên thành viên" id="13"/>
  </tableColumns>
  <tableStyleInfo name="02_Cong_viec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03B56"/>
    <pageSetUpPr/>
  </sheetPr>
  <sheetViews>
    <sheetView showGridLines="0" workbookViewId="0"/>
  </sheetViews>
  <sheetFormatPr customHeight="1" defaultColWidth="12.63" defaultRowHeight="15.0"/>
  <cols>
    <col customWidth="1" min="1" max="1" width="10.0"/>
    <col customWidth="1" min="2" max="2" width="23.0"/>
    <col customWidth="1" min="3" max="3" width="29.0"/>
    <col customWidth="1" min="4" max="4" width="53.0"/>
    <col customWidth="1" min="5" max="5" width="22.0"/>
    <col customWidth="1" min="6" max="6" width="16.0"/>
    <col customWidth="1" min="7" max="7" width="42.0"/>
    <col customWidth="1" min="8" max="8" width="19.0"/>
    <col customWidth="1" min="9" max="9" width="18.0"/>
    <col customWidth="1" min="10" max="26" width="8.63"/>
  </cols>
  <sheetData>
    <row r="1">
      <c r="A1" s="1"/>
      <c r="B1" s="1"/>
      <c r="C1" s="1"/>
      <c r="D1" s="1"/>
      <c r="E1" s="1"/>
      <c r="F1" s="1"/>
      <c r="G1" s="1"/>
      <c r="H1" s="1"/>
      <c r="I1" s="1"/>
    </row>
    <row r="2" ht="30.0" customHeight="1">
      <c r="A2" s="2" t="s">
        <v>1</v>
      </c>
      <c r="B2" s="2"/>
      <c r="C2" s="2"/>
      <c r="D2" s="2"/>
      <c r="E2" s="2"/>
      <c r="F2" s="2"/>
      <c r="G2" s="2"/>
      <c r="H2" s="2"/>
      <c r="I2" s="2"/>
    </row>
    <row r="3">
      <c r="A3" s="3"/>
      <c r="B3" s="3"/>
      <c r="C3" s="3"/>
      <c r="D3" s="3"/>
      <c r="E3" s="3"/>
      <c r="F3" s="3"/>
      <c r="G3" s="3"/>
      <c r="H3" s="3"/>
      <c r="I3" s="3"/>
    </row>
    <row r="4">
      <c r="A4" s="1" t="s">
        <v>3</v>
      </c>
      <c r="B4" s="1"/>
      <c r="C4" s="1"/>
      <c r="D4" s="1"/>
      <c r="E4" s="1"/>
      <c r="F4" s="1"/>
      <c r="G4" s="1"/>
      <c r="H4" s="1"/>
      <c r="I4" s="1"/>
    </row>
    <row r="5">
      <c r="A5" s="1" t="s">
        <v>4</v>
      </c>
      <c r="B5" s="1"/>
      <c r="C5" s="1"/>
      <c r="D5" s="1"/>
      <c r="E5" s="1"/>
      <c r="F5" s="1"/>
      <c r="G5" s="1"/>
      <c r="H5" s="1"/>
      <c r="I5" s="1"/>
    </row>
    <row r="6">
      <c r="A6" s="1" t="s">
        <v>12</v>
      </c>
      <c r="B6" s="1"/>
      <c r="C6" s="1"/>
      <c r="D6" s="1"/>
      <c r="E6" s="1"/>
      <c r="F6" s="1"/>
      <c r="G6" s="1"/>
      <c r="H6" s="1"/>
      <c r="I6" s="1"/>
    </row>
    <row r="7">
      <c r="A7" s="1"/>
      <c r="B7" s="1"/>
      <c r="C7" s="1"/>
      <c r="D7" s="1"/>
      <c r="E7" s="1"/>
      <c r="F7" s="1"/>
      <c r="G7" s="1"/>
      <c r="H7" s="1"/>
      <c r="I7" s="1"/>
    </row>
    <row r="8" ht="31.5" customHeight="1">
      <c r="A8" s="4" t="s">
        <v>23</v>
      </c>
      <c r="B8" s="4" t="s">
        <v>26</v>
      </c>
      <c r="C8" s="4" t="s">
        <v>30</v>
      </c>
      <c r="D8" s="4" t="s">
        <v>32</v>
      </c>
      <c r="E8" s="4" t="s">
        <v>34</v>
      </c>
      <c r="F8" s="4" t="s">
        <v>37</v>
      </c>
      <c r="G8" s="4" t="s">
        <v>40</v>
      </c>
      <c r="H8" s="4" t="s">
        <v>42</v>
      </c>
      <c r="I8" s="4" t="s">
        <v>45</v>
      </c>
    </row>
    <row r="9" ht="55.5" customHeight="1">
      <c r="A9" s="5" t="s">
        <v>17</v>
      </c>
      <c r="B9" s="7" t="s">
        <v>52</v>
      </c>
      <c r="C9" s="5" t="s">
        <v>71</v>
      </c>
      <c r="D9" s="5" t="s">
        <v>72</v>
      </c>
      <c r="E9" s="5" t="s">
        <v>75</v>
      </c>
      <c r="F9" s="8">
        <f>COUNTIFS('02_Cong_viec'!$C$7:$C$46,A9)</f>
        <v>8</v>
      </c>
      <c r="G9" s="8">
        <f>SUMIFS('02_Cong_viec'!$G$7:$G$46,'02_Cong_viec'!$C$7:$C$46,A9)</f>
        <v>44</v>
      </c>
      <c r="H9" s="8">
        <f>COUNTIFS('02_Cong_viec'!$C$7:$C$46,A9,'02_Cong_viec'!$K$7:$K$46,"Đã tích hợp")</f>
        <v>0</v>
      </c>
      <c r="I9" s="8">
        <f>COUNTIFS('02_Cong_viec'!$C$7:$C$46,A9,'02_Cong_viec'!$K$7:$K$46,"Chưa cập nhật")</f>
        <v>8</v>
      </c>
    </row>
    <row r="10" ht="55.5" customHeight="1">
      <c r="A10" s="5" t="s">
        <v>43</v>
      </c>
      <c r="B10" s="7" t="s">
        <v>179</v>
      </c>
      <c r="C10" s="5" t="s">
        <v>181</v>
      </c>
      <c r="D10" s="5" t="s">
        <v>182</v>
      </c>
      <c r="E10" s="5" t="s">
        <v>183</v>
      </c>
      <c r="F10" s="8">
        <f>COUNTIFS('02_Cong_viec'!$C$7:$C$46,A10)</f>
        <v>8</v>
      </c>
      <c r="G10" s="8">
        <f>SUMIFS('02_Cong_viec'!$G$7:$G$46,'02_Cong_viec'!$C$7:$C$46,A10)</f>
        <v>54</v>
      </c>
      <c r="H10" s="8">
        <f>COUNTIFS('02_Cong_viec'!$C$7:$C$46,A10,'02_Cong_viec'!$K$7:$K$46,"Đã tích hợp")</f>
        <v>0</v>
      </c>
      <c r="I10" s="8">
        <f>COUNTIFS('02_Cong_viec'!$C$7:$C$46,A10,'02_Cong_viec'!$K$7:$K$46,"Chưa cập nhật")</f>
        <v>8</v>
      </c>
    </row>
    <row r="11" ht="55.5" customHeight="1">
      <c r="A11" s="5" t="s">
        <v>24</v>
      </c>
      <c r="B11" s="7" t="s">
        <v>190</v>
      </c>
      <c r="C11" s="5" t="s">
        <v>191</v>
      </c>
      <c r="D11" s="5" t="s">
        <v>192</v>
      </c>
      <c r="E11" s="5" t="s">
        <v>193</v>
      </c>
      <c r="F11" s="8">
        <f>COUNTIFS('02_Cong_viec'!$C$7:$C$46,A11)</f>
        <v>8</v>
      </c>
      <c r="G11" s="8">
        <f>SUMIFS('02_Cong_viec'!$G$7:$G$46,'02_Cong_viec'!$C$7:$C$46,A11)</f>
        <v>47</v>
      </c>
      <c r="H11" s="8">
        <f>COUNTIFS('02_Cong_viec'!$C$7:$C$46,A11,'02_Cong_viec'!$K$7:$K$46,"Đã tích hợp")</f>
        <v>0</v>
      </c>
      <c r="I11" s="8">
        <f>COUNTIFS('02_Cong_viec'!$C$7:$C$46,A11,'02_Cong_viec'!$K$7:$K$46,"Chưa cập nhật")</f>
        <v>8</v>
      </c>
    </row>
    <row r="12" ht="55.5" customHeight="1">
      <c r="A12" s="5" t="s">
        <v>33</v>
      </c>
      <c r="B12" s="7" t="s">
        <v>200</v>
      </c>
      <c r="C12" s="5" t="s">
        <v>201</v>
      </c>
      <c r="D12" s="5" t="s">
        <v>202</v>
      </c>
      <c r="E12" s="5" t="s">
        <v>193</v>
      </c>
      <c r="F12" s="8">
        <f>COUNTIFS('02_Cong_viec'!$C$7:$C$46,A12)</f>
        <v>8</v>
      </c>
      <c r="G12" s="8">
        <f>SUMIFS('02_Cong_viec'!$G$7:$G$46,'02_Cong_viec'!$C$7:$C$46,A12)</f>
        <v>45</v>
      </c>
      <c r="H12" s="8">
        <f>COUNTIFS('02_Cong_viec'!$C$7:$C$46,A12,'02_Cong_viec'!$K$7:$K$46,"Đã tích hợp")</f>
        <v>0</v>
      </c>
      <c r="I12" s="8">
        <f>COUNTIFS('02_Cong_viec'!$C$7:$C$46,A12,'02_Cong_viec'!$K$7:$K$46,"Chưa cập nhật")</f>
        <v>8</v>
      </c>
    </row>
    <row r="13" ht="55.5" customHeight="1">
      <c r="A13" s="5" t="s">
        <v>50</v>
      </c>
      <c r="B13" s="7" t="s">
        <v>207</v>
      </c>
      <c r="C13" s="5" t="s">
        <v>208</v>
      </c>
      <c r="D13" s="5" t="s">
        <v>210</v>
      </c>
      <c r="E13" s="5" t="s">
        <v>211</v>
      </c>
      <c r="F13" s="8">
        <f>COUNTIFS('02_Cong_viec'!$C$7:$C$46,A13)</f>
        <v>8</v>
      </c>
      <c r="G13" s="8">
        <f>SUMIFS('02_Cong_viec'!$G$7:$G$46,'02_Cong_viec'!$C$7:$C$46,A13)</f>
        <v>44</v>
      </c>
      <c r="H13" s="8">
        <f>COUNTIFS('02_Cong_viec'!$C$7:$C$46,A13,'02_Cong_viec'!$K$7:$K$46,"Đã tích hợp")</f>
        <v>0</v>
      </c>
      <c r="I13" s="8">
        <f>COUNTIFS('02_Cong_viec'!$C$7:$C$46,A13,'02_Cong_viec'!$K$7:$K$46,"Chưa cập nhật")</f>
        <v>8</v>
      </c>
    </row>
    <row r="14">
      <c r="A14" s="14" t="s">
        <v>212</v>
      </c>
      <c r="B14" s="14"/>
      <c r="C14" s="14"/>
      <c r="D14" s="14"/>
      <c r="E14" s="14"/>
      <c r="F14" s="15"/>
      <c r="G14" s="15">
        <f>SUM(G9:G13)</f>
        <v>234</v>
      </c>
      <c r="H14" s="15"/>
      <c r="I14" s="15"/>
    </row>
    <row r="15">
      <c r="A15" s="1"/>
      <c r="B15" s="1"/>
      <c r="C15" s="1"/>
      <c r="D15" s="1"/>
      <c r="E15" s="1"/>
      <c r="F15" s="1"/>
      <c r="G15" s="1"/>
      <c r="H15" s="1"/>
      <c r="I15" s="1"/>
    </row>
    <row r="16">
      <c r="A16" s="1" t="s">
        <v>215</v>
      </c>
      <c r="B16" s="1"/>
      <c r="C16" s="1"/>
      <c r="D16" s="1"/>
      <c r="E16" s="1"/>
      <c r="F16" s="1"/>
      <c r="G16" s="1"/>
      <c r="H16" s="1"/>
      <c r="I16" s="1"/>
    </row>
    <row r="17">
      <c r="A17" s="1" t="s">
        <v>216</v>
      </c>
      <c r="B17" s="1"/>
      <c r="C17" s="1"/>
      <c r="D17" s="1"/>
      <c r="E17" s="1"/>
      <c r="F17" s="1"/>
      <c r="G17" s="1"/>
      <c r="H17" s="1"/>
      <c r="I17" s="1"/>
    </row>
    <row r="18">
      <c r="A18" s="1"/>
      <c r="B18" s="1"/>
      <c r="C18" s="1"/>
      <c r="D18" s="1"/>
      <c r="E18" s="1"/>
      <c r="F18" s="1"/>
      <c r="G18" s="1"/>
      <c r="H18" s="1"/>
      <c r="I18" s="1"/>
    </row>
    <row r="19" ht="31.5" customHeight="1">
      <c r="A19" s="4" t="s">
        <v>218</v>
      </c>
      <c r="B19" s="4" t="s">
        <v>219</v>
      </c>
      <c r="C19" s="4" t="s">
        <v>220</v>
      </c>
      <c r="D19" s="4" t="s">
        <v>222</v>
      </c>
      <c r="E19" s="4" t="s">
        <v>223</v>
      </c>
      <c r="F19" s="4" t="s">
        <v>224</v>
      </c>
      <c r="G19" s="4" t="s">
        <v>225</v>
      </c>
      <c r="H19" s="1"/>
      <c r="I19" s="1"/>
    </row>
    <row r="20" ht="51.75" customHeight="1">
      <c r="A20" s="5" t="s">
        <v>226</v>
      </c>
      <c r="B20" s="6"/>
      <c r="C20" s="6"/>
      <c r="D20" s="5" t="s">
        <v>227</v>
      </c>
      <c r="E20" s="5" t="s">
        <v>116</v>
      </c>
      <c r="F20" s="5" t="s">
        <v>147</v>
      </c>
      <c r="G20" s="5" t="s">
        <v>228</v>
      </c>
      <c r="H20" s="1"/>
      <c r="I20" s="1"/>
    </row>
    <row r="21" ht="51.75" customHeight="1">
      <c r="A21" s="5" t="s">
        <v>229</v>
      </c>
      <c r="B21" s="6"/>
      <c r="C21" s="6"/>
      <c r="D21" s="5" t="s">
        <v>230</v>
      </c>
      <c r="E21" s="5" t="s">
        <v>204</v>
      </c>
      <c r="F21" s="5" t="s">
        <v>231</v>
      </c>
      <c r="G21" s="5" t="s">
        <v>232</v>
      </c>
      <c r="H21" s="1"/>
      <c r="I21" s="1"/>
    </row>
    <row r="22" ht="51.75" customHeight="1">
      <c r="A22" s="5" t="s">
        <v>233</v>
      </c>
      <c r="B22" s="6"/>
      <c r="C22" s="6"/>
      <c r="D22" s="5" t="s">
        <v>234</v>
      </c>
      <c r="E22" s="5" t="s">
        <v>50</v>
      </c>
      <c r="F22" s="5" t="s">
        <v>235</v>
      </c>
      <c r="G22" s="5" t="s">
        <v>236</v>
      </c>
      <c r="H22" s="1"/>
      <c r="I22" s="1"/>
    </row>
    <row r="23" ht="51.75" customHeight="1">
      <c r="A23" s="5" t="s">
        <v>237</v>
      </c>
      <c r="B23" s="6"/>
      <c r="C23" s="6"/>
      <c r="D23" s="5" t="s">
        <v>238</v>
      </c>
      <c r="E23" s="5" t="s">
        <v>142</v>
      </c>
      <c r="F23" s="5" t="s">
        <v>116</v>
      </c>
      <c r="G23" s="5" t="s">
        <v>239</v>
      </c>
      <c r="H23" s="1"/>
      <c r="I23" s="1"/>
    </row>
    <row r="24" ht="51.75" customHeight="1">
      <c r="A24" s="5" t="s">
        <v>240</v>
      </c>
      <c r="B24" s="6"/>
      <c r="C24" s="6"/>
      <c r="D24" s="5" t="s">
        <v>241</v>
      </c>
      <c r="E24" s="5" t="s">
        <v>50</v>
      </c>
      <c r="F24" s="5" t="s">
        <v>242</v>
      </c>
      <c r="G24" s="5" t="s">
        <v>243</v>
      </c>
      <c r="H24" s="1"/>
      <c r="I24" s="1"/>
    </row>
    <row r="25" ht="51.75" customHeight="1">
      <c r="A25" s="5" t="s">
        <v>244</v>
      </c>
      <c r="B25" s="6"/>
      <c r="C25" s="6"/>
      <c r="D25" s="5" t="s">
        <v>245</v>
      </c>
      <c r="E25" s="5" t="s">
        <v>50</v>
      </c>
      <c r="F25" s="5" t="s">
        <v>246</v>
      </c>
      <c r="G25" s="5" t="s">
        <v>247</v>
      </c>
      <c r="H25" s="1"/>
      <c r="I25" s="1"/>
    </row>
    <row r="26" ht="15.75" customHeight="1">
      <c r="A26" s="1"/>
      <c r="B26" s="1"/>
      <c r="C26" s="1"/>
      <c r="D26" s="1"/>
      <c r="E26" s="1"/>
      <c r="F26" s="1"/>
      <c r="G26" s="1"/>
      <c r="H26" s="1"/>
      <c r="I26" s="1"/>
    </row>
    <row r="27" ht="15.75" customHeight="1">
      <c r="A27" s="1"/>
      <c r="B27" s="1"/>
      <c r="C27" s="1"/>
      <c r="D27" s="1"/>
      <c r="E27" s="1"/>
      <c r="F27" s="1"/>
      <c r="G27" s="1"/>
      <c r="H27" s="1"/>
      <c r="I27" s="1"/>
    </row>
    <row r="28" ht="15.75" customHeight="1">
      <c r="A28" s="16" t="s">
        <v>248</v>
      </c>
      <c r="B28" s="1"/>
      <c r="C28" s="1"/>
      <c r="D28" s="1"/>
      <c r="E28" s="1"/>
      <c r="F28" s="1"/>
      <c r="G28" s="1"/>
      <c r="H28" s="1"/>
      <c r="I28" s="1"/>
    </row>
    <row r="29" ht="15.75" customHeight="1">
      <c r="A29" s="1" t="s">
        <v>249</v>
      </c>
      <c r="B29" s="1"/>
      <c r="C29" s="1"/>
      <c r="D29" s="1"/>
      <c r="E29" s="1"/>
      <c r="F29" s="1"/>
      <c r="G29" s="1"/>
      <c r="H29" s="1"/>
      <c r="I29" s="1"/>
    </row>
    <row r="30" ht="15.75" customHeight="1">
      <c r="A30" s="1" t="s">
        <v>251</v>
      </c>
      <c r="B30" s="1"/>
      <c r="C30" s="1"/>
      <c r="D30" s="1"/>
      <c r="E30" s="1"/>
      <c r="F30" s="1"/>
      <c r="G30" s="1"/>
      <c r="H30" s="1"/>
      <c r="I30" s="1"/>
    </row>
    <row r="31" ht="15.75" customHeight="1">
      <c r="A31" s="1" t="s">
        <v>253</v>
      </c>
      <c r="B31" s="1"/>
      <c r="C31" s="1"/>
      <c r="D31" s="1"/>
      <c r="E31" s="1"/>
      <c r="F31" s="1"/>
      <c r="G31" s="1"/>
      <c r="H31" s="1"/>
      <c r="I31" s="1"/>
    </row>
    <row r="32" ht="15.75" customHeight="1">
      <c r="A32" s="1"/>
      <c r="B32" s="1"/>
      <c r="C32" s="1"/>
      <c r="D32" s="1"/>
      <c r="E32" s="1"/>
      <c r="F32" s="1"/>
      <c r="G32" s="1"/>
      <c r="H32" s="1"/>
      <c r="I32" s="1"/>
    </row>
    <row r="33" ht="15.75" customHeight="1">
      <c r="A33" s="1" t="s">
        <v>254</v>
      </c>
      <c r="B33" s="1"/>
      <c r="C33" s="1"/>
      <c r="D33" s="1"/>
      <c r="E33" s="1"/>
      <c r="F33" s="1"/>
      <c r="G33" s="1"/>
      <c r="H33" s="1"/>
      <c r="I33" s="1"/>
    </row>
    <row r="34" ht="15.75" customHeight="1">
      <c r="A34" s="1"/>
      <c r="B34" s="1"/>
      <c r="C34" s="1"/>
      <c r="D34" s="1"/>
      <c r="E34" s="1"/>
      <c r="F34" s="1"/>
      <c r="G34" s="1"/>
      <c r="H34" s="1"/>
      <c r="I34" s="1"/>
    </row>
    <row r="35" ht="15.75" customHeight="1">
      <c r="A35" s="1"/>
      <c r="B35" s="1"/>
      <c r="C35" s="1"/>
      <c r="D35" s="1"/>
      <c r="E35" s="1"/>
      <c r="F35" s="1"/>
      <c r="G35" s="1"/>
      <c r="H35" s="1"/>
      <c r="I35" s="1"/>
    </row>
    <row r="36" ht="15.75" customHeight="1">
      <c r="A36" s="1"/>
      <c r="B36" s="1"/>
      <c r="C36" s="1"/>
      <c r="D36" s="1"/>
      <c r="E36" s="1"/>
      <c r="F36" s="1"/>
      <c r="G36" s="1"/>
      <c r="H36" s="1"/>
      <c r="I36" s="1"/>
    </row>
    <row r="37" ht="15.75" customHeight="1">
      <c r="A37" s="1"/>
      <c r="B37" s="1"/>
      <c r="C37" s="1"/>
      <c r="D37" s="1"/>
      <c r="E37" s="1"/>
      <c r="F37" s="1"/>
      <c r="G37" s="1"/>
      <c r="H37" s="1"/>
      <c r="I37" s="1"/>
    </row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03B56"/>
    <pageSetUpPr/>
  </sheetPr>
  <sheetViews>
    <sheetView showGridLines="0" workbookViewId="0">
      <pane xSplit="2.0" ySplit="6.0" topLeftCell="C7" activePane="bottomRight" state="frozen"/>
      <selection activeCell="C1" sqref="C1" pane="topRight"/>
      <selection activeCell="A7" sqref="A7" pane="bottomLeft"/>
      <selection activeCell="C7" sqref="C7" pane="bottomRight"/>
    </sheetView>
  </sheetViews>
  <sheetFormatPr customHeight="1" defaultColWidth="12.63" defaultRowHeight="15.0"/>
  <cols>
    <col customWidth="1" min="1" max="1" width="9.0"/>
    <col customWidth="1" min="2" max="2" width="39.0"/>
    <col customWidth="1" min="3" max="3" width="10.0"/>
    <col customWidth="1" min="4" max="4" width="18.0"/>
    <col customWidth="1" min="5" max="6" width="12.0"/>
    <col customWidth="1" min="7" max="7" width="11.0"/>
    <col customWidth="1" min="8" max="8" width="27.0"/>
    <col customWidth="1" min="9" max="9" width="47.0"/>
    <col customWidth="1" min="10" max="10" width="65.0"/>
    <col customWidth="1" min="11" max="11" width="19.0"/>
    <col customWidth="1" min="12" max="12" width="32.0"/>
    <col customWidth="1" min="13" max="13" width="24.0"/>
    <col customWidth="1" min="14" max="26" width="8.63"/>
  </cols>
  <sheetData>
    <row r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ht="30.0" customHeight="1">
      <c r="A2" s="2" t="s">
        <v>176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>
      <c r="A4" s="1" t="s">
        <v>180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>
      <c r="A5" s="1" t="s">
        <v>184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ht="31.5" customHeight="1">
      <c r="A6" s="9" t="s">
        <v>185</v>
      </c>
      <c r="B6" s="9" t="s">
        <v>186</v>
      </c>
      <c r="C6" s="9" t="s">
        <v>10</v>
      </c>
      <c r="D6" s="9" t="s">
        <v>187</v>
      </c>
      <c r="E6" s="9" t="s">
        <v>188</v>
      </c>
      <c r="F6" s="9" t="s">
        <v>189</v>
      </c>
      <c r="G6" s="9" t="s">
        <v>40</v>
      </c>
      <c r="H6" s="9" t="s">
        <v>194</v>
      </c>
      <c r="I6" s="9" t="s">
        <v>195</v>
      </c>
      <c r="J6" s="9" t="s">
        <v>196</v>
      </c>
      <c r="K6" s="9" t="s">
        <v>197</v>
      </c>
      <c r="L6" s="9" t="s">
        <v>198</v>
      </c>
      <c r="M6" s="9" t="s">
        <v>26</v>
      </c>
    </row>
    <row r="7" ht="54.0" customHeight="1">
      <c r="A7" s="10" t="s">
        <v>199</v>
      </c>
      <c r="B7" s="10" t="s">
        <v>203</v>
      </c>
      <c r="C7" s="10" t="s">
        <v>17</v>
      </c>
      <c r="D7" s="10" t="s">
        <v>204</v>
      </c>
      <c r="E7" s="11"/>
      <c r="F7" s="11"/>
      <c r="G7" s="12">
        <v>5.0</v>
      </c>
      <c r="H7" s="10" t="s">
        <v>205</v>
      </c>
      <c r="I7" s="10" t="s">
        <v>206</v>
      </c>
      <c r="J7" s="10" t="s">
        <v>209</v>
      </c>
      <c r="K7" s="13" t="s">
        <v>45</v>
      </c>
      <c r="L7" s="13"/>
      <c r="M7" s="10" t="str">
        <f>IF('01_Phan_cong'!B9="","Chưa điền",'01_Phan_cong'!B9)</f>
        <v>Nguyễn Quốc Việt</v>
      </c>
    </row>
    <row r="8" ht="54.0" customHeight="1">
      <c r="A8" s="10" t="s">
        <v>213</v>
      </c>
      <c r="B8" s="10" t="s">
        <v>214</v>
      </c>
      <c r="C8" s="10" t="s">
        <v>17</v>
      </c>
      <c r="D8" s="10" t="s">
        <v>204</v>
      </c>
      <c r="E8" s="11"/>
      <c r="F8" s="11"/>
      <c r="G8" s="12">
        <v>5.0</v>
      </c>
      <c r="H8" s="10" t="s">
        <v>199</v>
      </c>
      <c r="I8" s="10" t="s">
        <v>217</v>
      </c>
      <c r="J8" s="10" t="s">
        <v>221</v>
      </c>
      <c r="K8" s="13" t="s">
        <v>45</v>
      </c>
      <c r="L8" s="13"/>
      <c r="M8" s="10" t="str">
        <f>IF('01_Phan_cong'!B9="","Chưa điền",'01_Phan_cong'!B9)</f>
        <v>Nguyễn Quốc Việt</v>
      </c>
    </row>
    <row r="9" ht="54.0" customHeight="1">
      <c r="A9" s="10" t="s">
        <v>250</v>
      </c>
      <c r="B9" s="10" t="s">
        <v>252</v>
      </c>
      <c r="C9" s="10" t="s">
        <v>17</v>
      </c>
      <c r="D9" s="10" t="s">
        <v>242</v>
      </c>
      <c r="E9" s="11"/>
      <c r="F9" s="11"/>
      <c r="G9" s="12">
        <v>6.0</v>
      </c>
      <c r="H9" s="10" t="s">
        <v>199</v>
      </c>
      <c r="I9" s="10" t="s">
        <v>255</v>
      </c>
      <c r="J9" s="10" t="s">
        <v>256</v>
      </c>
      <c r="K9" s="13" t="s">
        <v>45</v>
      </c>
      <c r="L9" s="13"/>
      <c r="M9" s="10" t="str">
        <f>IF('01_Phan_cong'!B9="","Chưa điền",'01_Phan_cong'!B9)</f>
        <v>Nguyễn Quốc Việt</v>
      </c>
    </row>
    <row r="10" ht="54.0" customHeight="1">
      <c r="A10" s="10" t="s">
        <v>257</v>
      </c>
      <c r="B10" s="10" t="s">
        <v>258</v>
      </c>
      <c r="C10" s="10" t="s">
        <v>17</v>
      </c>
      <c r="D10" s="10" t="s">
        <v>111</v>
      </c>
      <c r="E10" s="11"/>
      <c r="F10" s="11"/>
      <c r="G10" s="12">
        <v>6.0</v>
      </c>
      <c r="H10" s="10" t="s">
        <v>213</v>
      </c>
      <c r="I10" s="10" t="s">
        <v>259</v>
      </c>
      <c r="J10" s="10" t="s">
        <v>260</v>
      </c>
      <c r="K10" s="13" t="s">
        <v>45</v>
      </c>
      <c r="L10" s="13"/>
      <c r="M10" s="10" t="str">
        <f>IF('01_Phan_cong'!B9="","Chưa điền",'01_Phan_cong'!B9)</f>
        <v>Nguyễn Quốc Việt</v>
      </c>
    </row>
    <row r="11" ht="54.0" customHeight="1">
      <c r="A11" s="10" t="s">
        <v>261</v>
      </c>
      <c r="B11" s="10" t="s">
        <v>262</v>
      </c>
      <c r="C11" s="10" t="s">
        <v>17</v>
      </c>
      <c r="D11" s="10" t="s">
        <v>263</v>
      </c>
      <c r="E11" s="11"/>
      <c r="F11" s="11"/>
      <c r="G11" s="12">
        <v>6.0</v>
      </c>
      <c r="H11" s="10" t="s">
        <v>213</v>
      </c>
      <c r="I11" s="10" t="s">
        <v>264</v>
      </c>
      <c r="J11" s="10" t="s">
        <v>265</v>
      </c>
      <c r="K11" s="13" t="s">
        <v>45</v>
      </c>
      <c r="L11" s="13"/>
      <c r="M11" s="10" t="str">
        <f>IF('01_Phan_cong'!B9="","Chưa điền",'01_Phan_cong'!B9)</f>
        <v>Nguyễn Quốc Việt</v>
      </c>
    </row>
    <row r="12" ht="54.0" customHeight="1">
      <c r="A12" s="10" t="s">
        <v>266</v>
      </c>
      <c r="B12" s="10" t="s">
        <v>267</v>
      </c>
      <c r="C12" s="10" t="s">
        <v>17</v>
      </c>
      <c r="D12" s="10" t="s">
        <v>242</v>
      </c>
      <c r="E12" s="11"/>
      <c r="F12" s="11"/>
      <c r="G12" s="12">
        <v>7.0</v>
      </c>
      <c r="H12" s="10" t="s">
        <v>261</v>
      </c>
      <c r="I12" s="10" t="s">
        <v>268</v>
      </c>
      <c r="J12" s="10" t="s">
        <v>269</v>
      </c>
      <c r="K12" s="13" t="s">
        <v>45</v>
      </c>
      <c r="L12" s="13"/>
      <c r="M12" s="10" t="str">
        <f>IF('01_Phan_cong'!B9="","Chưa điền",'01_Phan_cong'!B9)</f>
        <v>Nguyễn Quốc Việt</v>
      </c>
    </row>
    <row r="13" ht="54.0" customHeight="1">
      <c r="A13" s="10" t="s">
        <v>270</v>
      </c>
      <c r="B13" s="10" t="s">
        <v>271</v>
      </c>
      <c r="C13" s="10" t="s">
        <v>17</v>
      </c>
      <c r="D13" s="10" t="s">
        <v>272</v>
      </c>
      <c r="E13" s="11"/>
      <c r="F13" s="11"/>
      <c r="G13" s="12">
        <v>5.0</v>
      </c>
      <c r="H13" s="10" t="s">
        <v>273</v>
      </c>
      <c r="I13" s="10" t="s">
        <v>274</v>
      </c>
      <c r="J13" s="10" t="s">
        <v>275</v>
      </c>
      <c r="K13" s="13" t="s">
        <v>45</v>
      </c>
      <c r="L13" s="13"/>
      <c r="M13" s="10" t="str">
        <f>IF('01_Phan_cong'!B9="","Chưa điền",'01_Phan_cong'!B9)</f>
        <v>Nguyễn Quốc Việt</v>
      </c>
    </row>
    <row r="14" ht="54.0" customHeight="1">
      <c r="A14" s="10" t="s">
        <v>276</v>
      </c>
      <c r="B14" s="10" t="s">
        <v>277</v>
      </c>
      <c r="C14" s="10" t="s">
        <v>17</v>
      </c>
      <c r="D14" s="10" t="s">
        <v>50</v>
      </c>
      <c r="E14" s="11"/>
      <c r="F14" s="11"/>
      <c r="G14" s="12">
        <v>4.0</v>
      </c>
      <c r="H14" s="10" t="s">
        <v>278</v>
      </c>
      <c r="I14" s="10" t="s">
        <v>279</v>
      </c>
      <c r="J14" s="10" t="s">
        <v>280</v>
      </c>
      <c r="K14" s="13" t="s">
        <v>45</v>
      </c>
      <c r="L14" s="13"/>
      <c r="M14" s="10" t="str">
        <f>IF('01_Phan_cong'!B9="","Chưa điền",'01_Phan_cong'!B9)</f>
        <v>Nguyễn Quốc Việt</v>
      </c>
    </row>
    <row r="15" ht="54.0" customHeight="1">
      <c r="A15" s="17" t="s">
        <v>281</v>
      </c>
      <c r="B15" s="17" t="s">
        <v>282</v>
      </c>
      <c r="C15" s="17" t="s">
        <v>43</v>
      </c>
      <c r="D15" s="17" t="s">
        <v>235</v>
      </c>
      <c r="E15" s="18"/>
      <c r="F15" s="18"/>
      <c r="G15" s="19">
        <v>5.0</v>
      </c>
      <c r="H15" s="17" t="s">
        <v>283</v>
      </c>
      <c r="I15" s="17" t="s">
        <v>284</v>
      </c>
      <c r="J15" s="17" t="s">
        <v>285</v>
      </c>
      <c r="K15" s="13" t="s">
        <v>45</v>
      </c>
      <c r="L15" s="13"/>
      <c r="M15" s="10" t="str">
        <f>IF('01_Phan_cong'!B10="","Chưa điền",'01_Phan_cong'!B10)</f>
        <v>Đặng Hoàng Long Vũ</v>
      </c>
    </row>
    <row r="16" ht="54.0" customHeight="1">
      <c r="A16" s="17" t="s">
        <v>286</v>
      </c>
      <c r="B16" s="17" t="s">
        <v>287</v>
      </c>
      <c r="C16" s="17" t="s">
        <v>43</v>
      </c>
      <c r="D16" s="17" t="s">
        <v>231</v>
      </c>
      <c r="E16" s="18"/>
      <c r="F16" s="18"/>
      <c r="G16" s="19">
        <v>8.0</v>
      </c>
      <c r="H16" s="17" t="s">
        <v>288</v>
      </c>
      <c r="I16" s="17" t="s">
        <v>289</v>
      </c>
      <c r="J16" s="17" t="s">
        <v>290</v>
      </c>
      <c r="K16" s="13" t="s">
        <v>45</v>
      </c>
      <c r="L16" s="13"/>
      <c r="M16" s="10" t="str">
        <f>IF('01_Phan_cong'!B10="","Chưa điền",'01_Phan_cong'!B10)</f>
        <v>Đặng Hoàng Long Vũ</v>
      </c>
    </row>
    <row r="17" ht="54.0" customHeight="1">
      <c r="A17" s="17" t="s">
        <v>291</v>
      </c>
      <c r="B17" s="17" t="s">
        <v>292</v>
      </c>
      <c r="C17" s="17" t="s">
        <v>43</v>
      </c>
      <c r="D17" s="17" t="s">
        <v>293</v>
      </c>
      <c r="E17" s="18"/>
      <c r="F17" s="18"/>
      <c r="G17" s="19">
        <v>8.0</v>
      </c>
      <c r="H17" s="17" t="s">
        <v>294</v>
      </c>
      <c r="I17" s="17" t="s">
        <v>295</v>
      </c>
      <c r="J17" s="17" t="s">
        <v>296</v>
      </c>
      <c r="K17" s="13" t="s">
        <v>45</v>
      </c>
      <c r="L17" s="13"/>
      <c r="M17" s="10" t="str">
        <f>IF('01_Phan_cong'!B10="","Chưa điền",'01_Phan_cong'!B10)</f>
        <v>Đặng Hoàng Long Vũ</v>
      </c>
    </row>
    <row r="18" ht="54.0" customHeight="1">
      <c r="A18" s="17" t="s">
        <v>297</v>
      </c>
      <c r="B18" s="17" t="s">
        <v>298</v>
      </c>
      <c r="C18" s="17" t="s">
        <v>43</v>
      </c>
      <c r="D18" s="17" t="s">
        <v>231</v>
      </c>
      <c r="E18" s="18"/>
      <c r="F18" s="18"/>
      <c r="G18" s="19">
        <v>7.0</v>
      </c>
      <c r="H18" s="17" t="s">
        <v>299</v>
      </c>
      <c r="I18" s="17" t="s">
        <v>300</v>
      </c>
      <c r="J18" s="17" t="s">
        <v>301</v>
      </c>
      <c r="K18" s="13" t="s">
        <v>45</v>
      </c>
      <c r="L18" s="13"/>
      <c r="M18" s="10" t="str">
        <f>IF('01_Phan_cong'!B10="","Chưa điền",'01_Phan_cong'!B10)</f>
        <v>Đặng Hoàng Long Vũ</v>
      </c>
    </row>
    <row r="19" ht="54.0" customHeight="1">
      <c r="A19" s="17" t="s">
        <v>302</v>
      </c>
      <c r="B19" s="17" t="s">
        <v>303</v>
      </c>
      <c r="C19" s="17" t="s">
        <v>43</v>
      </c>
      <c r="D19" s="17" t="s">
        <v>231</v>
      </c>
      <c r="E19" s="18"/>
      <c r="F19" s="18"/>
      <c r="G19" s="19">
        <v>8.0</v>
      </c>
      <c r="H19" s="17" t="s">
        <v>304</v>
      </c>
      <c r="I19" s="17" t="s">
        <v>305</v>
      </c>
      <c r="J19" s="17" t="s">
        <v>306</v>
      </c>
      <c r="K19" s="13" t="s">
        <v>45</v>
      </c>
      <c r="L19" s="13"/>
      <c r="M19" s="10" t="str">
        <f>IF('01_Phan_cong'!B10="","Chưa điền",'01_Phan_cong'!B10)</f>
        <v>Đặng Hoàng Long Vũ</v>
      </c>
    </row>
    <row r="20" ht="54.0" customHeight="1">
      <c r="A20" s="17" t="s">
        <v>307</v>
      </c>
      <c r="B20" s="17" t="s">
        <v>308</v>
      </c>
      <c r="C20" s="17" t="s">
        <v>43</v>
      </c>
      <c r="D20" s="17" t="s">
        <v>147</v>
      </c>
      <c r="E20" s="18"/>
      <c r="F20" s="18"/>
      <c r="G20" s="19">
        <v>5.0</v>
      </c>
      <c r="H20" s="17" t="s">
        <v>309</v>
      </c>
      <c r="I20" s="17" t="s">
        <v>310</v>
      </c>
      <c r="J20" s="17" t="s">
        <v>311</v>
      </c>
      <c r="K20" s="13" t="s">
        <v>45</v>
      </c>
      <c r="L20" s="13"/>
      <c r="M20" s="10" t="str">
        <f>IF('01_Phan_cong'!B10="","Chưa điền",'01_Phan_cong'!B10)</f>
        <v>Đặng Hoàng Long Vũ</v>
      </c>
    </row>
    <row r="21" ht="54.0" customHeight="1">
      <c r="A21" s="17" t="s">
        <v>312</v>
      </c>
      <c r="B21" s="17" t="s">
        <v>313</v>
      </c>
      <c r="C21" s="17" t="s">
        <v>43</v>
      </c>
      <c r="D21" s="17" t="s">
        <v>314</v>
      </c>
      <c r="E21" s="18"/>
      <c r="F21" s="18"/>
      <c r="G21" s="19">
        <v>8.0</v>
      </c>
      <c r="H21" s="17" t="s">
        <v>273</v>
      </c>
      <c r="I21" s="17" t="s">
        <v>315</v>
      </c>
      <c r="J21" s="17" t="s">
        <v>316</v>
      </c>
      <c r="K21" s="13" t="s">
        <v>45</v>
      </c>
      <c r="L21" s="13"/>
      <c r="M21" s="10" t="str">
        <f>IF('01_Phan_cong'!B10="","Chưa điền",'01_Phan_cong'!B10)</f>
        <v>Đặng Hoàng Long Vũ</v>
      </c>
    </row>
    <row r="22" ht="54.0" customHeight="1">
      <c r="A22" s="17" t="s">
        <v>317</v>
      </c>
      <c r="B22" s="17" t="s">
        <v>318</v>
      </c>
      <c r="C22" s="17" t="s">
        <v>43</v>
      </c>
      <c r="D22" s="17" t="s">
        <v>50</v>
      </c>
      <c r="E22" s="18"/>
      <c r="F22" s="18"/>
      <c r="G22" s="19">
        <v>5.0</v>
      </c>
      <c r="H22" s="17" t="s">
        <v>319</v>
      </c>
      <c r="I22" s="17" t="s">
        <v>320</v>
      </c>
      <c r="J22" s="17" t="s">
        <v>321</v>
      </c>
      <c r="K22" s="13" t="s">
        <v>45</v>
      </c>
      <c r="L22" s="13"/>
      <c r="M22" s="10" t="str">
        <f>IF('01_Phan_cong'!B10="","Chưa điền",'01_Phan_cong'!B10)</f>
        <v>Đặng Hoàng Long Vũ</v>
      </c>
    </row>
    <row r="23" ht="54.0" customHeight="1">
      <c r="A23" s="10" t="s">
        <v>322</v>
      </c>
      <c r="B23" s="10" t="s">
        <v>323</v>
      </c>
      <c r="C23" s="10" t="s">
        <v>24</v>
      </c>
      <c r="D23" s="10" t="s">
        <v>116</v>
      </c>
      <c r="E23" s="11"/>
      <c r="F23" s="11"/>
      <c r="G23" s="12">
        <v>4.0</v>
      </c>
      <c r="H23" s="10" t="s">
        <v>324</v>
      </c>
      <c r="I23" s="10" t="s">
        <v>325</v>
      </c>
      <c r="J23" s="10" t="s">
        <v>326</v>
      </c>
      <c r="K23" s="13" t="s">
        <v>45</v>
      </c>
      <c r="L23" s="13"/>
      <c r="M23" s="10" t="str">
        <f>IF('01_Phan_cong'!B11="","Chưa điền",'01_Phan_cong'!B11)</f>
        <v>Nguyễn Nhật Thành</v>
      </c>
    </row>
    <row r="24" ht="54.0" customHeight="1">
      <c r="A24" s="10" t="s">
        <v>327</v>
      </c>
      <c r="B24" s="10" t="s">
        <v>328</v>
      </c>
      <c r="C24" s="10" t="s">
        <v>24</v>
      </c>
      <c r="D24" s="10" t="s">
        <v>17</v>
      </c>
      <c r="E24" s="11"/>
      <c r="F24" s="11"/>
      <c r="G24" s="12">
        <v>7.0</v>
      </c>
      <c r="H24" s="10" t="s">
        <v>329</v>
      </c>
      <c r="I24" s="10" t="s">
        <v>330</v>
      </c>
      <c r="J24" s="10" t="s">
        <v>331</v>
      </c>
      <c r="K24" s="13" t="s">
        <v>45</v>
      </c>
      <c r="L24" s="13"/>
      <c r="M24" s="10" t="str">
        <f>IF('01_Phan_cong'!B11="","Chưa điền",'01_Phan_cong'!B11)</f>
        <v>Nguyễn Nhật Thành</v>
      </c>
    </row>
    <row r="25" ht="54.0" customHeight="1">
      <c r="A25" s="10" t="s">
        <v>332</v>
      </c>
      <c r="B25" s="10" t="s">
        <v>333</v>
      </c>
      <c r="C25" s="10" t="s">
        <v>24</v>
      </c>
      <c r="D25" s="10" t="s">
        <v>116</v>
      </c>
      <c r="E25" s="11"/>
      <c r="F25" s="11"/>
      <c r="G25" s="12">
        <v>8.0</v>
      </c>
      <c r="H25" s="10" t="s">
        <v>334</v>
      </c>
      <c r="I25" s="10" t="s">
        <v>335</v>
      </c>
      <c r="J25" s="10" t="s">
        <v>336</v>
      </c>
      <c r="K25" s="13" t="s">
        <v>45</v>
      </c>
      <c r="L25" s="13"/>
      <c r="M25" s="10" t="str">
        <f>IF('01_Phan_cong'!B11="","Chưa điền",'01_Phan_cong'!B11)</f>
        <v>Nguyễn Nhật Thành</v>
      </c>
    </row>
    <row r="26" ht="54.0" customHeight="1">
      <c r="A26" s="10" t="s">
        <v>337</v>
      </c>
      <c r="B26" s="10" t="s">
        <v>338</v>
      </c>
      <c r="C26" s="10" t="s">
        <v>24</v>
      </c>
      <c r="D26" s="10" t="s">
        <v>339</v>
      </c>
      <c r="E26" s="11"/>
      <c r="F26" s="11"/>
      <c r="G26" s="12">
        <v>7.0</v>
      </c>
      <c r="H26" s="10" t="s">
        <v>340</v>
      </c>
      <c r="I26" s="10" t="s">
        <v>341</v>
      </c>
      <c r="J26" s="10" t="s">
        <v>342</v>
      </c>
      <c r="K26" s="13" t="s">
        <v>45</v>
      </c>
      <c r="L26" s="13"/>
      <c r="M26" s="10" t="str">
        <f>IF('01_Phan_cong'!B11="","Chưa điền",'01_Phan_cong'!B11)</f>
        <v>Nguyễn Nhật Thành</v>
      </c>
    </row>
    <row r="27" ht="54.0" customHeight="1">
      <c r="A27" s="10" t="s">
        <v>343</v>
      </c>
      <c r="B27" s="10" t="s">
        <v>344</v>
      </c>
      <c r="C27" s="10" t="s">
        <v>24</v>
      </c>
      <c r="D27" s="10" t="s">
        <v>116</v>
      </c>
      <c r="E27" s="11"/>
      <c r="F27" s="11"/>
      <c r="G27" s="12">
        <v>7.0</v>
      </c>
      <c r="H27" s="10" t="s">
        <v>345</v>
      </c>
      <c r="I27" s="10" t="s">
        <v>346</v>
      </c>
      <c r="J27" s="10" t="s">
        <v>347</v>
      </c>
      <c r="K27" s="13" t="s">
        <v>45</v>
      </c>
      <c r="L27" s="13"/>
      <c r="M27" s="10" t="str">
        <f>IF('01_Phan_cong'!B11="","Chưa điền",'01_Phan_cong'!B11)</f>
        <v>Nguyễn Nhật Thành</v>
      </c>
    </row>
    <row r="28" ht="54.0" customHeight="1">
      <c r="A28" s="10" t="s">
        <v>348</v>
      </c>
      <c r="B28" s="10" t="s">
        <v>349</v>
      </c>
      <c r="C28" s="10" t="s">
        <v>24</v>
      </c>
      <c r="D28" s="10" t="s">
        <v>263</v>
      </c>
      <c r="E28" s="11"/>
      <c r="F28" s="11"/>
      <c r="G28" s="12">
        <v>4.0</v>
      </c>
      <c r="H28" s="10" t="s">
        <v>350</v>
      </c>
      <c r="I28" s="10" t="s">
        <v>351</v>
      </c>
      <c r="J28" s="10" t="s">
        <v>352</v>
      </c>
      <c r="K28" s="13" t="s">
        <v>45</v>
      </c>
      <c r="L28" s="13"/>
      <c r="M28" s="10" t="str">
        <f>IF('01_Phan_cong'!B11="","Chưa điền",'01_Phan_cong'!B11)</f>
        <v>Nguyễn Nhật Thành</v>
      </c>
    </row>
    <row r="29" ht="54.0" customHeight="1">
      <c r="A29" s="10" t="s">
        <v>353</v>
      </c>
      <c r="B29" s="10" t="s">
        <v>354</v>
      </c>
      <c r="C29" s="10" t="s">
        <v>24</v>
      </c>
      <c r="D29" s="10" t="s">
        <v>314</v>
      </c>
      <c r="E29" s="11"/>
      <c r="F29" s="11"/>
      <c r="G29" s="12">
        <v>4.0</v>
      </c>
      <c r="H29" s="10" t="s">
        <v>355</v>
      </c>
      <c r="I29" s="10" t="s">
        <v>356</v>
      </c>
      <c r="J29" s="10" t="s">
        <v>357</v>
      </c>
      <c r="K29" s="13" t="s">
        <v>45</v>
      </c>
      <c r="L29" s="13"/>
      <c r="M29" s="10" t="str">
        <f>IF('01_Phan_cong'!B11="","Chưa điền",'01_Phan_cong'!B11)</f>
        <v>Nguyễn Nhật Thành</v>
      </c>
    </row>
    <row r="30" ht="54.0" customHeight="1">
      <c r="A30" s="10" t="s">
        <v>358</v>
      </c>
      <c r="B30" s="10" t="s">
        <v>359</v>
      </c>
      <c r="C30" s="10" t="s">
        <v>24</v>
      </c>
      <c r="D30" s="10" t="s">
        <v>231</v>
      </c>
      <c r="E30" s="11"/>
      <c r="F30" s="11"/>
      <c r="G30" s="12">
        <v>6.0</v>
      </c>
      <c r="H30" s="10" t="s">
        <v>360</v>
      </c>
      <c r="I30" s="10" t="s">
        <v>361</v>
      </c>
      <c r="J30" s="10" t="s">
        <v>362</v>
      </c>
      <c r="K30" s="13" t="s">
        <v>45</v>
      </c>
      <c r="L30" s="13"/>
      <c r="M30" s="10" t="str">
        <f>IF('01_Phan_cong'!B11="","Chưa điền",'01_Phan_cong'!B11)</f>
        <v>Nguyễn Nhật Thành</v>
      </c>
    </row>
    <row r="31" ht="54.0" customHeight="1">
      <c r="A31" s="17" t="s">
        <v>363</v>
      </c>
      <c r="B31" s="17" t="s">
        <v>364</v>
      </c>
      <c r="C31" s="17" t="s">
        <v>33</v>
      </c>
      <c r="D31" s="17" t="s">
        <v>116</v>
      </c>
      <c r="E31" s="18"/>
      <c r="F31" s="18"/>
      <c r="G31" s="19">
        <v>5.0</v>
      </c>
      <c r="H31" s="17" t="s">
        <v>365</v>
      </c>
      <c r="I31" s="17" t="s">
        <v>366</v>
      </c>
      <c r="J31" s="17" t="s">
        <v>367</v>
      </c>
      <c r="K31" s="13" t="s">
        <v>45</v>
      </c>
      <c r="L31" s="13"/>
      <c r="M31" s="10" t="str">
        <f>IF('01_Phan_cong'!B12="","Chưa điền",'01_Phan_cong'!B12)</f>
        <v>Nguyễn Võ An Vi</v>
      </c>
    </row>
    <row r="32" ht="54.0" customHeight="1">
      <c r="A32" s="17" t="s">
        <v>368</v>
      </c>
      <c r="B32" s="17" t="s">
        <v>369</v>
      </c>
      <c r="C32" s="17" t="s">
        <v>33</v>
      </c>
      <c r="D32" s="17" t="s">
        <v>116</v>
      </c>
      <c r="E32" s="18"/>
      <c r="F32" s="18"/>
      <c r="G32" s="19">
        <v>5.0</v>
      </c>
      <c r="H32" s="17" t="s">
        <v>370</v>
      </c>
      <c r="I32" s="17" t="s">
        <v>371</v>
      </c>
      <c r="J32" s="17" t="s">
        <v>372</v>
      </c>
      <c r="K32" s="13" t="s">
        <v>45</v>
      </c>
      <c r="L32" s="13"/>
      <c r="M32" s="10" t="str">
        <f>IF('01_Phan_cong'!B12="","Chưa điền",'01_Phan_cong'!B12)</f>
        <v>Nguyễn Võ An Vi</v>
      </c>
    </row>
    <row r="33" ht="54.0" customHeight="1">
      <c r="A33" s="17" t="s">
        <v>373</v>
      </c>
      <c r="B33" s="17" t="s">
        <v>374</v>
      </c>
      <c r="C33" s="17" t="s">
        <v>33</v>
      </c>
      <c r="D33" s="17" t="s">
        <v>43</v>
      </c>
      <c r="E33" s="18"/>
      <c r="F33" s="18"/>
      <c r="G33" s="19">
        <v>8.0</v>
      </c>
      <c r="H33" s="17" t="s">
        <v>370</v>
      </c>
      <c r="I33" s="17" t="s">
        <v>375</v>
      </c>
      <c r="J33" s="17" t="s">
        <v>376</v>
      </c>
      <c r="K33" s="13" t="s">
        <v>45</v>
      </c>
      <c r="L33" s="13"/>
      <c r="M33" s="10" t="str">
        <f>IF('01_Phan_cong'!B12="","Chưa điền",'01_Phan_cong'!B12)</f>
        <v>Nguyễn Võ An Vi</v>
      </c>
    </row>
    <row r="34" ht="54.0" customHeight="1">
      <c r="A34" s="17" t="s">
        <v>377</v>
      </c>
      <c r="B34" s="17" t="s">
        <v>378</v>
      </c>
      <c r="C34" s="17" t="s">
        <v>33</v>
      </c>
      <c r="D34" s="17" t="s">
        <v>339</v>
      </c>
      <c r="E34" s="18"/>
      <c r="F34" s="18"/>
      <c r="G34" s="19">
        <v>6.0</v>
      </c>
      <c r="H34" s="17" t="s">
        <v>379</v>
      </c>
      <c r="I34" s="17" t="s">
        <v>380</v>
      </c>
      <c r="J34" s="17" t="s">
        <v>381</v>
      </c>
      <c r="K34" s="13" t="s">
        <v>45</v>
      </c>
      <c r="L34" s="13"/>
      <c r="M34" s="10" t="str">
        <f>IF('01_Phan_cong'!B12="","Chưa điền",'01_Phan_cong'!B12)</f>
        <v>Nguyễn Võ An Vi</v>
      </c>
    </row>
    <row r="35" ht="54.0" customHeight="1">
      <c r="A35" s="17" t="s">
        <v>382</v>
      </c>
      <c r="B35" s="17" t="s">
        <v>383</v>
      </c>
      <c r="C35" s="17" t="s">
        <v>33</v>
      </c>
      <c r="D35" s="17" t="s">
        <v>314</v>
      </c>
      <c r="E35" s="18"/>
      <c r="F35" s="18"/>
      <c r="G35" s="19">
        <v>6.0</v>
      </c>
      <c r="H35" s="17" t="s">
        <v>384</v>
      </c>
      <c r="I35" s="17" t="s">
        <v>385</v>
      </c>
      <c r="J35" s="17" t="s">
        <v>386</v>
      </c>
      <c r="K35" s="13" t="s">
        <v>45</v>
      </c>
      <c r="L35" s="13"/>
      <c r="M35" s="10" t="str">
        <f>IF('01_Phan_cong'!B12="","Chưa điền",'01_Phan_cong'!B12)</f>
        <v>Nguyễn Võ An Vi</v>
      </c>
    </row>
    <row r="36" ht="54.0" customHeight="1">
      <c r="A36" s="17" t="s">
        <v>387</v>
      </c>
      <c r="B36" s="17" t="s">
        <v>388</v>
      </c>
      <c r="C36" s="17" t="s">
        <v>33</v>
      </c>
      <c r="D36" s="17" t="s">
        <v>314</v>
      </c>
      <c r="E36" s="18"/>
      <c r="F36" s="18"/>
      <c r="G36" s="19">
        <v>6.0</v>
      </c>
      <c r="H36" s="17" t="s">
        <v>389</v>
      </c>
      <c r="I36" s="17" t="s">
        <v>390</v>
      </c>
      <c r="J36" s="17" t="s">
        <v>391</v>
      </c>
      <c r="K36" s="13" t="s">
        <v>45</v>
      </c>
      <c r="L36" s="13"/>
      <c r="M36" s="10" t="str">
        <f>IF('01_Phan_cong'!B12="","Chưa điền",'01_Phan_cong'!B12)</f>
        <v>Nguyễn Võ An Vi</v>
      </c>
    </row>
    <row r="37" ht="54.0" customHeight="1">
      <c r="A37" s="17" t="s">
        <v>392</v>
      </c>
      <c r="B37" s="17" t="s">
        <v>393</v>
      </c>
      <c r="C37" s="17" t="s">
        <v>33</v>
      </c>
      <c r="D37" s="17" t="s">
        <v>263</v>
      </c>
      <c r="E37" s="18"/>
      <c r="F37" s="18"/>
      <c r="G37" s="19">
        <v>5.0</v>
      </c>
      <c r="H37" s="17" t="s">
        <v>394</v>
      </c>
      <c r="I37" s="17" t="s">
        <v>395</v>
      </c>
      <c r="J37" s="17" t="s">
        <v>396</v>
      </c>
      <c r="K37" s="13" t="s">
        <v>45</v>
      </c>
      <c r="L37" s="13"/>
      <c r="M37" s="10" t="str">
        <f>IF('01_Phan_cong'!B12="","Chưa điền",'01_Phan_cong'!B12)</f>
        <v>Nguyễn Võ An Vi</v>
      </c>
    </row>
    <row r="38" ht="54.0" customHeight="1">
      <c r="A38" s="17" t="s">
        <v>397</v>
      </c>
      <c r="B38" s="17" t="s">
        <v>398</v>
      </c>
      <c r="C38" s="17" t="s">
        <v>33</v>
      </c>
      <c r="D38" s="17" t="s">
        <v>50</v>
      </c>
      <c r="E38" s="18"/>
      <c r="F38" s="18"/>
      <c r="G38" s="19">
        <v>4.0</v>
      </c>
      <c r="H38" s="17" t="s">
        <v>392</v>
      </c>
      <c r="I38" s="17" t="s">
        <v>399</v>
      </c>
      <c r="J38" s="17" t="s">
        <v>400</v>
      </c>
      <c r="K38" s="13" t="s">
        <v>45</v>
      </c>
      <c r="L38" s="13"/>
      <c r="M38" s="10" t="str">
        <f>IF('01_Phan_cong'!B12="","Chưa điền",'01_Phan_cong'!B12)</f>
        <v>Nguyễn Võ An Vi</v>
      </c>
    </row>
    <row r="39" ht="54.0" customHeight="1">
      <c r="A39" s="10" t="s">
        <v>401</v>
      </c>
      <c r="B39" s="10" t="s">
        <v>402</v>
      </c>
      <c r="C39" s="10" t="s">
        <v>50</v>
      </c>
      <c r="D39" s="10" t="s">
        <v>211</v>
      </c>
      <c r="E39" s="11"/>
      <c r="F39" s="11"/>
      <c r="G39" s="12">
        <v>5.0</v>
      </c>
      <c r="H39" s="10" t="s">
        <v>205</v>
      </c>
      <c r="I39" s="10" t="s">
        <v>403</v>
      </c>
      <c r="J39" s="10" t="s">
        <v>404</v>
      </c>
      <c r="K39" s="13" t="s">
        <v>45</v>
      </c>
      <c r="L39" s="13"/>
      <c r="M39" s="10" t="str">
        <f>IF('01_Phan_cong'!B13="","Chưa điền",'01_Phan_cong'!B13)</f>
        <v>Đỗ Phú Vinh</v>
      </c>
    </row>
    <row r="40" ht="54.0" customHeight="1">
      <c r="A40" s="10" t="s">
        <v>405</v>
      </c>
      <c r="B40" s="10" t="s">
        <v>406</v>
      </c>
      <c r="C40" s="10" t="s">
        <v>50</v>
      </c>
      <c r="D40" s="10" t="s">
        <v>235</v>
      </c>
      <c r="E40" s="11"/>
      <c r="F40" s="11"/>
      <c r="G40" s="12">
        <v>6.0</v>
      </c>
      <c r="H40" s="10" t="s">
        <v>407</v>
      </c>
      <c r="I40" s="10" t="s">
        <v>408</v>
      </c>
      <c r="J40" s="10" t="s">
        <v>409</v>
      </c>
      <c r="K40" s="13" t="s">
        <v>45</v>
      </c>
      <c r="L40" s="13"/>
      <c r="M40" s="10" t="str">
        <f>IF('01_Phan_cong'!B13="","Chưa điền",'01_Phan_cong'!B13)</f>
        <v>Đỗ Phú Vinh</v>
      </c>
    </row>
    <row r="41" ht="54.0" customHeight="1">
      <c r="A41" s="10" t="s">
        <v>410</v>
      </c>
      <c r="B41" s="10" t="s">
        <v>411</v>
      </c>
      <c r="C41" s="10" t="s">
        <v>50</v>
      </c>
      <c r="D41" s="10" t="s">
        <v>412</v>
      </c>
      <c r="E41" s="11"/>
      <c r="F41" s="11"/>
      <c r="G41" s="12">
        <v>8.0</v>
      </c>
      <c r="H41" s="10" t="s">
        <v>413</v>
      </c>
      <c r="I41" s="10" t="s">
        <v>414</v>
      </c>
      <c r="J41" s="10" t="s">
        <v>415</v>
      </c>
      <c r="K41" s="13" t="s">
        <v>45</v>
      </c>
      <c r="L41" s="13"/>
      <c r="M41" s="10" t="str">
        <f>IF('01_Phan_cong'!B13="","Chưa điền",'01_Phan_cong'!B13)</f>
        <v>Đỗ Phú Vinh</v>
      </c>
    </row>
    <row r="42" ht="54.0" customHeight="1">
      <c r="A42" s="10" t="s">
        <v>416</v>
      </c>
      <c r="B42" s="10" t="s">
        <v>417</v>
      </c>
      <c r="C42" s="10" t="s">
        <v>50</v>
      </c>
      <c r="D42" s="10" t="s">
        <v>418</v>
      </c>
      <c r="E42" s="11"/>
      <c r="F42" s="11"/>
      <c r="G42" s="12">
        <v>5.0</v>
      </c>
      <c r="H42" s="10" t="s">
        <v>419</v>
      </c>
      <c r="I42" s="10" t="s">
        <v>420</v>
      </c>
      <c r="J42" s="10" t="s">
        <v>421</v>
      </c>
      <c r="K42" s="13" t="s">
        <v>45</v>
      </c>
      <c r="L42" s="13"/>
      <c r="M42" s="10" t="str">
        <f>IF('01_Phan_cong'!B13="","Chưa điền",'01_Phan_cong'!B13)</f>
        <v>Đỗ Phú Vinh</v>
      </c>
    </row>
    <row r="43" ht="54.0" customHeight="1">
      <c r="A43" s="10" t="s">
        <v>422</v>
      </c>
      <c r="B43" s="10" t="s">
        <v>423</v>
      </c>
      <c r="C43" s="10" t="s">
        <v>50</v>
      </c>
      <c r="D43" s="10" t="s">
        <v>211</v>
      </c>
      <c r="E43" s="11"/>
      <c r="F43" s="11"/>
      <c r="G43" s="12">
        <v>3.0</v>
      </c>
      <c r="H43" s="10" t="s">
        <v>424</v>
      </c>
      <c r="I43" s="10" t="s">
        <v>425</v>
      </c>
      <c r="J43" s="10" t="s">
        <v>426</v>
      </c>
      <c r="K43" s="13" t="s">
        <v>45</v>
      </c>
      <c r="L43" s="13"/>
      <c r="M43" s="10" t="str">
        <f>IF('01_Phan_cong'!B13="","Chưa điền",'01_Phan_cong'!B13)</f>
        <v>Đỗ Phú Vinh</v>
      </c>
    </row>
    <row r="44" ht="54.0" customHeight="1">
      <c r="A44" s="10" t="s">
        <v>427</v>
      </c>
      <c r="B44" s="10" t="s">
        <v>428</v>
      </c>
      <c r="C44" s="10" t="s">
        <v>50</v>
      </c>
      <c r="D44" s="10" t="s">
        <v>418</v>
      </c>
      <c r="E44" s="11"/>
      <c r="F44" s="11"/>
      <c r="G44" s="12">
        <v>8.0</v>
      </c>
      <c r="H44" s="10" t="s">
        <v>429</v>
      </c>
      <c r="I44" s="10" t="s">
        <v>430</v>
      </c>
      <c r="J44" s="10" t="s">
        <v>431</v>
      </c>
      <c r="K44" s="13" t="s">
        <v>45</v>
      </c>
      <c r="L44" s="13"/>
      <c r="M44" s="10" t="str">
        <f>IF('01_Phan_cong'!B13="","Chưa điền",'01_Phan_cong'!B13)</f>
        <v>Đỗ Phú Vinh</v>
      </c>
    </row>
    <row r="45" ht="54.0" customHeight="1">
      <c r="A45" s="10" t="s">
        <v>432</v>
      </c>
      <c r="B45" s="10" t="s">
        <v>433</v>
      </c>
      <c r="C45" s="10" t="s">
        <v>50</v>
      </c>
      <c r="D45" s="10" t="s">
        <v>434</v>
      </c>
      <c r="E45" s="11"/>
      <c r="F45" s="11"/>
      <c r="G45" s="12">
        <v>6.0</v>
      </c>
      <c r="H45" s="10" t="s">
        <v>435</v>
      </c>
      <c r="I45" s="10" t="s">
        <v>436</v>
      </c>
      <c r="J45" s="10" t="s">
        <v>437</v>
      </c>
      <c r="K45" s="13" t="s">
        <v>45</v>
      </c>
      <c r="L45" s="13"/>
      <c r="M45" s="10" t="str">
        <f>IF('01_Phan_cong'!B13="","Chưa điền",'01_Phan_cong'!B13)</f>
        <v>Đỗ Phú Vinh</v>
      </c>
    </row>
    <row r="46" ht="54.0" customHeight="1">
      <c r="A46" s="10" t="s">
        <v>438</v>
      </c>
      <c r="B46" s="10" t="s">
        <v>439</v>
      </c>
      <c r="C46" s="10" t="s">
        <v>50</v>
      </c>
      <c r="D46" s="10" t="s">
        <v>440</v>
      </c>
      <c r="E46" s="11"/>
      <c r="F46" s="11"/>
      <c r="G46" s="12">
        <v>3.0</v>
      </c>
      <c r="H46" s="10" t="s">
        <v>441</v>
      </c>
      <c r="I46" s="10" t="s">
        <v>442</v>
      </c>
      <c r="J46" s="10" t="s">
        <v>443</v>
      </c>
      <c r="K46" s="13" t="s">
        <v>45</v>
      </c>
      <c r="L46" s="13"/>
      <c r="M46" s="10" t="str">
        <f>IF('01_Phan_cong'!B13="","Chưa điền",'01_Phan_cong'!B13)</f>
        <v>Đỗ Phú Vinh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K7:K46">
    <cfRule type="containsText" dxfId="5" priority="1" operator="containsText" text="Bị chặn">
      <formula>NOT(ISERROR(SEARCH(("Bị chặn"),(K7))))</formula>
    </cfRule>
  </conditionalFormatting>
  <conditionalFormatting sqref="K7:K46">
    <cfRule type="containsText" dxfId="6" priority="2" operator="containsText" text="Đã tích hợp">
      <formula>NOT(ISERROR(SEARCH(("Đã tích hợp"),(K7))))</formula>
    </cfRule>
  </conditionalFormatting>
  <dataValidations>
    <dataValidation type="list" allowBlank="1" sqref="K7:K46">
      <formula1>"Chưa cập nhật,Chưa bắt đầu,Đang làm,Chờ kiểm,Đã tích hợp,Bị chặn,Tạm dừng"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03B56"/>
    <pageSetUpPr/>
  </sheetPr>
  <sheetViews>
    <sheetView showGridLines="0" workbookViewId="0">
      <pane ySplit="5.0" topLeftCell="A6" activePane="bottomLeft" state="frozen"/>
      <selection activeCell="B7" sqref="B7" pane="bottomLeft"/>
    </sheetView>
  </sheetViews>
  <sheetFormatPr customHeight="1" defaultColWidth="12.63" defaultRowHeight="15.0"/>
  <cols>
    <col customWidth="1" min="1" max="1" width="15.0"/>
    <col customWidth="1" min="2" max="2" width="28.0"/>
    <col customWidth="1" min="3" max="4" width="48.0"/>
    <col customWidth="1" min="5" max="5" width="50.0"/>
    <col customWidth="1" min="6" max="6" width="25.0"/>
    <col customWidth="1" min="7" max="7" width="22.0"/>
    <col customWidth="1" min="8" max="26" width="8.63"/>
  </cols>
  <sheetData>
    <row r="1">
      <c r="A1" s="1"/>
      <c r="B1" s="1"/>
      <c r="C1" s="1"/>
      <c r="D1" s="1"/>
      <c r="E1" s="1"/>
      <c r="F1" s="1"/>
      <c r="G1" s="1"/>
    </row>
    <row r="2" ht="30.0" customHeight="1">
      <c r="A2" s="2" t="s">
        <v>0</v>
      </c>
      <c r="B2" s="2"/>
      <c r="C2" s="2"/>
      <c r="D2" s="2"/>
      <c r="E2" s="2"/>
      <c r="F2" s="2"/>
      <c r="G2" s="2"/>
    </row>
    <row r="3">
      <c r="A3" s="3"/>
      <c r="B3" s="3"/>
      <c r="C3" s="3"/>
      <c r="D3" s="3"/>
      <c r="E3" s="3"/>
      <c r="F3" s="3"/>
      <c r="G3" s="3"/>
    </row>
    <row r="4">
      <c r="A4" s="1"/>
      <c r="B4" s="1"/>
      <c r="C4" s="1"/>
      <c r="D4" s="1"/>
      <c r="E4" s="1"/>
      <c r="F4" s="1"/>
      <c r="G4" s="1"/>
    </row>
    <row r="5" ht="31.5" customHeight="1">
      <c r="A5" s="4" t="s">
        <v>2</v>
      </c>
      <c r="B5" s="4" t="s">
        <v>5</v>
      </c>
      <c r="C5" s="4" t="s">
        <v>6</v>
      </c>
      <c r="D5" s="4" t="s">
        <v>7</v>
      </c>
      <c r="E5" s="4" t="s">
        <v>8</v>
      </c>
      <c r="F5" s="4" t="s">
        <v>9</v>
      </c>
      <c r="G5" s="4" t="s">
        <v>10</v>
      </c>
    </row>
    <row r="6" ht="60.0" customHeight="1">
      <c r="A6" s="5" t="s">
        <v>11</v>
      </c>
      <c r="B6" s="5" t="s">
        <v>13</v>
      </c>
      <c r="C6" s="5" t="s">
        <v>14</v>
      </c>
      <c r="D6" s="5" t="s">
        <v>15</v>
      </c>
      <c r="E6" s="5" t="s">
        <v>16</v>
      </c>
      <c r="F6" s="6"/>
      <c r="G6" s="5" t="s">
        <v>17</v>
      </c>
    </row>
    <row r="7" ht="60.0" customHeight="1">
      <c r="A7" s="5" t="s">
        <v>18</v>
      </c>
      <c r="B7" s="5" t="s">
        <v>19</v>
      </c>
      <c r="C7" s="5" t="s">
        <v>20</v>
      </c>
      <c r="D7" s="5" t="s">
        <v>21</v>
      </c>
      <c r="E7" s="5" t="s">
        <v>22</v>
      </c>
      <c r="F7" s="6"/>
      <c r="G7" s="5" t="s">
        <v>24</v>
      </c>
    </row>
    <row r="8" ht="60.0" customHeight="1">
      <c r="A8" s="5" t="s">
        <v>25</v>
      </c>
      <c r="B8" s="5" t="s">
        <v>27</v>
      </c>
      <c r="C8" s="5" t="s">
        <v>28</v>
      </c>
      <c r="D8" s="5" t="s">
        <v>29</v>
      </c>
      <c r="E8" s="5" t="s">
        <v>31</v>
      </c>
      <c r="F8" s="6"/>
      <c r="G8" s="5" t="s">
        <v>33</v>
      </c>
    </row>
    <row r="9" ht="60.0" customHeight="1">
      <c r="A9" s="5" t="s">
        <v>35</v>
      </c>
      <c r="B9" s="5" t="s">
        <v>36</v>
      </c>
      <c r="C9" s="5" t="s">
        <v>38</v>
      </c>
      <c r="D9" s="5" t="s">
        <v>39</v>
      </c>
      <c r="E9" s="5" t="s">
        <v>41</v>
      </c>
      <c r="F9" s="6"/>
      <c r="G9" s="5" t="s">
        <v>43</v>
      </c>
    </row>
    <row r="10" ht="60.0" customHeight="1">
      <c r="A10" s="5" t="s">
        <v>44</v>
      </c>
      <c r="B10" s="5" t="s">
        <v>46</v>
      </c>
      <c r="C10" s="5" t="s">
        <v>47</v>
      </c>
      <c r="D10" s="5" t="s">
        <v>48</v>
      </c>
      <c r="E10" s="5" t="s">
        <v>49</v>
      </c>
      <c r="F10" s="6"/>
      <c r="G10" s="5" t="s">
        <v>50</v>
      </c>
    </row>
    <row r="11" ht="60.0" customHeight="1">
      <c r="A11" s="5" t="s">
        <v>51</v>
      </c>
      <c r="B11" s="5" t="s">
        <v>53</v>
      </c>
      <c r="C11" s="5" t="s">
        <v>54</v>
      </c>
      <c r="D11" s="5" t="s">
        <v>55</v>
      </c>
      <c r="E11" s="5" t="s">
        <v>56</v>
      </c>
      <c r="F11" s="6"/>
      <c r="G11" s="5" t="s">
        <v>50</v>
      </c>
    </row>
    <row r="12">
      <c r="A12" s="1"/>
      <c r="B12" s="1"/>
      <c r="C12" s="1"/>
      <c r="D12" s="1"/>
      <c r="E12" s="1"/>
      <c r="F12" s="1"/>
      <c r="G12" s="1"/>
    </row>
    <row r="13">
      <c r="A13" s="1"/>
      <c r="B13" s="1"/>
      <c r="C13" s="1"/>
      <c r="D13" s="1"/>
      <c r="E13" s="1"/>
      <c r="F13" s="1"/>
      <c r="G13" s="1"/>
    </row>
    <row r="14" ht="31.5" customHeight="1">
      <c r="A14" s="4" t="s">
        <v>57</v>
      </c>
      <c r="B14" s="4" t="s">
        <v>58</v>
      </c>
      <c r="C14" s="4" t="s">
        <v>59</v>
      </c>
      <c r="D14" s="4" t="s">
        <v>60</v>
      </c>
      <c r="E14" s="4" t="s">
        <v>61</v>
      </c>
      <c r="F14" s="1"/>
      <c r="G14" s="1"/>
    </row>
    <row r="15" ht="49.5" customHeight="1">
      <c r="A15" s="5" t="s">
        <v>62</v>
      </c>
      <c r="B15" s="5" t="s">
        <v>63</v>
      </c>
      <c r="C15" s="5" t="s">
        <v>64</v>
      </c>
      <c r="D15" s="5" t="s">
        <v>65</v>
      </c>
      <c r="E15" s="5" t="s">
        <v>66</v>
      </c>
      <c r="F15" s="1"/>
      <c r="G15" s="1"/>
    </row>
    <row r="16" ht="49.5" customHeight="1">
      <c r="A16" s="5" t="s">
        <v>67</v>
      </c>
      <c r="B16" s="5" t="s">
        <v>68</v>
      </c>
      <c r="C16" s="5" t="s">
        <v>69</v>
      </c>
      <c r="D16" s="5" t="s">
        <v>70</v>
      </c>
      <c r="E16" s="5" t="s">
        <v>66</v>
      </c>
      <c r="F16" s="1"/>
      <c r="G16" s="1"/>
    </row>
    <row r="17" ht="49.5" customHeight="1">
      <c r="A17" s="5" t="s">
        <v>73</v>
      </c>
      <c r="B17" s="5" t="s">
        <v>74</v>
      </c>
      <c r="C17" s="5" t="s">
        <v>76</v>
      </c>
      <c r="D17" s="5" t="s">
        <v>77</v>
      </c>
      <c r="E17" s="5" t="s">
        <v>78</v>
      </c>
      <c r="F17" s="1"/>
      <c r="G17" s="1"/>
    </row>
    <row r="18" ht="49.5" customHeight="1">
      <c r="A18" s="5" t="s">
        <v>79</v>
      </c>
      <c r="B18" s="5" t="s">
        <v>80</v>
      </c>
      <c r="C18" s="5" t="s">
        <v>64</v>
      </c>
      <c r="D18" s="5" t="s">
        <v>81</v>
      </c>
      <c r="E18" s="5" t="s">
        <v>82</v>
      </c>
      <c r="F18" s="1"/>
      <c r="G18" s="1"/>
    </row>
    <row r="19" ht="49.5" customHeight="1">
      <c r="A19" s="5" t="s">
        <v>83</v>
      </c>
      <c r="B19" s="5" t="s">
        <v>84</v>
      </c>
      <c r="C19" s="5" t="s">
        <v>69</v>
      </c>
      <c r="D19" s="5" t="s">
        <v>85</v>
      </c>
      <c r="E19" s="5" t="s">
        <v>86</v>
      </c>
      <c r="F19" s="1"/>
      <c r="G19" s="1"/>
    </row>
    <row r="20" ht="49.5" customHeight="1">
      <c r="A20" s="5" t="s">
        <v>87</v>
      </c>
      <c r="B20" s="5" t="s">
        <v>88</v>
      </c>
      <c r="C20" s="5" t="s">
        <v>64</v>
      </c>
      <c r="D20" s="5" t="s">
        <v>89</v>
      </c>
      <c r="E20" s="5" t="s">
        <v>90</v>
      </c>
      <c r="F20" s="1"/>
      <c r="G20" s="1"/>
    </row>
    <row r="21" ht="49.5" customHeight="1">
      <c r="A21" s="5" t="s">
        <v>91</v>
      </c>
      <c r="B21" s="5" t="s">
        <v>92</v>
      </c>
      <c r="C21" s="5" t="s">
        <v>64</v>
      </c>
      <c r="D21" s="5" t="s">
        <v>93</v>
      </c>
      <c r="E21" s="5" t="s">
        <v>94</v>
      </c>
      <c r="F21" s="1"/>
      <c r="G21" s="1"/>
    </row>
    <row r="22" ht="49.5" customHeight="1">
      <c r="A22" s="5" t="s">
        <v>95</v>
      </c>
      <c r="B22" s="5" t="s">
        <v>96</v>
      </c>
      <c r="C22" s="5" t="s">
        <v>97</v>
      </c>
      <c r="D22" s="5" t="s">
        <v>98</v>
      </c>
      <c r="E22" s="5" t="s">
        <v>99</v>
      </c>
      <c r="F22" s="1"/>
      <c r="G22" s="1"/>
    </row>
    <row r="23" ht="15.75" customHeight="1">
      <c r="A23" s="1"/>
      <c r="B23" s="1"/>
      <c r="C23" s="1"/>
      <c r="D23" s="1"/>
      <c r="E23" s="1"/>
      <c r="F23" s="1"/>
      <c r="G23" s="1"/>
    </row>
    <row r="24" ht="15.75" customHeight="1">
      <c r="A24" s="1"/>
      <c r="B24" s="1"/>
      <c r="C24" s="1"/>
      <c r="D24" s="1"/>
      <c r="E24" s="1"/>
      <c r="F24" s="1"/>
      <c r="G24" s="1"/>
    </row>
    <row r="25" ht="31.5" customHeight="1">
      <c r="A25" s="4" t="s">
        <v>100</v>
      </c>
      <c r="B25" s="4" t="s">
        <v>101</v>
      </c>
      <c r="C25" s="4" t="s">
        <v>102</v>
      </c>
      <c r="D25" s="4" t="s">
        <v>103</v>
      </c>
      <c r="E25" s="4" t="s">
        <v>104</v>
      </c>
      <c r="F25" s="1"/>
      <c r="G25" s="1"/>
    </row>
    <row r="26" ht="55.5" customHeight="1">
      <c r="A26" s="5" t="s">
        <v>105</v>
      </c>
      <c r="B26" s="5" t="s">
        <v>106</v>
      </c>
      <c r="C26" s="5" t="s">
        <v>17</v>
      </c>
      <c r="D26" s="5" t="s">
        <v>107</v>
      </c>
      <c r="E26" s="5" t="s">
        <v>108</v>
      </c>
      <c r="F26" s="1"/>
      <c r="G26" s="1"/>
    </row>
    <row r="27" ht="55.5" customHeight="1">
      <c r="A27" s="5" t="s">
        <v>109</v>
      </c>
      <c r="B27" s="5" t="s">
        <v>110</v>
      </c>
      <c r="C27" s="5" t="s">
        <v>111</v>
      </c>
      <c r="D27" s="5" t="s">
        <v>112</v>
      </c>
      <c r="E27" s="5" t="s">
        <v>113</v>
      </c>
      <c r="F27" s="1"/>
      <c r="G27" s="1"/>
    </row>
    <row r="28" ht="55.5" customHeight="1">
      <c r="A28" s="5" t="s">
        <v>114</v>
      </c>
      <c r="B28" s="5" t="s">
        <v>115</v>
      </c>
      <c r="C28" s="5" t="s">
        <v>116</v>
      </c>
      <c r="D28" s="5" t="s">
        <v>117</v>
      </c>
      <c r="E28" s="5" t="s">
        <v>118</v>
      </c>
      <c r="F28" s="1"/>
      <c r="G28" s="1"/>
    </row>
    <row r="29" ht="55.5" customHeight="1">
      <c r="A29" s="5" t="s">
        <v>119</v>
      </c>
      <c r="B29" s="5" t="s">
        <v>120</v>
      </c>
      <c r="C29" s="5" t="s">
        <v>116</v>
      </c>
      <c r="D29" s="5" t="s">
        <v>121</v>
      </c>
      <c r="E29" s="5" t="s">
        <v>122</v>
      </c>
      <c r="F29" s="1"/>
      <c r="G29" s="1"/>
    </row>
    <row r="30" ht="55.5" customHeight="1">
      <c r="A30" s="5" t="s">
        <v>123</v>
      </c>
      <c r="B30" s="5" t="s">
        <v>124</v>
      </c>
      <c r="C30" s="5" t="s">
        <v>125</v>
      </c>
      <c r="D30" s="5" t="s">
        <v>126</v>
      </c>
      <c r="E30" s="5" t="s">
        <v>127</v>
      </c>
      <c r="F30" s="1"/>
      <c r="G30" s="1"/>
    </row>
    <row r="31" ht="55.5" customHeight="1">
      <c r="A31" s="5" t="s">
        <v>34</v>
      </c>
      <c r="B31" s="5" t="s">
        <v>128</v>
      </c>
      <c r="C31" s="5" t="s">
        <v>129</v>
      </c>
      <c r="D31" s="5" t="s">
        <v>130</v>
      </c>
      <c r="E31" s="5" t="s">
        <v>131</v>
      </c>
      <c r="F31" s="1"/>
      <c r="G31" s="1"/>
    </row>
    <row r="32" ht="55.5" customHeight="1">
      <c r="A32" s="5" t="s">
        <v>132</v>
      </c>
      <c r="B32" s="5" t="s">
        <v>133</v>
      </c>
      <c r="C32" s="5" t="s">
        <v>50</v>
      </c>
      <c r="D32" s="5" t="s">
        <v>134</v>
      </c>
      <c r="E32" s="5" t="s">
        <v>135</v>
      </c>
      <c r="F32" s="1"/>
      <c r="G32" s="1"/>
    </row>
    <row r="33" ht="55.5" customHeight="1">
      <c r="A33" s="5" t="s">
        <v>136</v>
      </c>
      <c r="B33" s="5" t="s">
        <v>137</v>
      </c>
      <c r="C33" s="5" t="s">
        <v>50</v>
      </c>
      <c r="D33" s="5" t="s">
        <v>138</v>
      </c>
      <c r="E33" s="5" t="s">
        <v>139</v>
      </c>
      <c r="F33" s="1"/>
      <c r="G33" s="1"/>
    </row>
    <row r="34" ht="55.5" customHeight="1">
      <c r="A34" s="5" t="s">
        <v>140</v>
      </c>
      <c r="B34" s="5" t="s">
        <v>141</v>
      </c>
      <c r="C34" s="5" t="s">
        <v>142</v>
      </c>
      <c r="D34" s="5" t="s">
        <v>143</v>
      </c>
      <c r="E34" s="5" t="s">
        <v>144</v>
      </c>
      <c r="F34" s="1"/>
      <c r="G34" s="1"/>
    </row>
    <row r="35" ht="55.5" customHeight="1">
      <c r="A35" s="5" t="s">
        <v>145</v>
      </c>
      <c r="B35" s="5" t="s">
        <v>146</v>
      </c>
      <c r="C35" s="5" t="s">
        <v>147</v>
      </c>
      <c r="D35" s="5" t="s">
        <v>148</v>
      </c>
      <c r="E35" s="5" t="s">
        <v>149</v>
      </c>
      <c r="F35" s="1"/>
      <c r="G35" s="1"/>
    </row>
    <row r="36" ht="55.5" customHeight="1">
      <c r="A36" s="5" t="s">
        <v>150</v>
      </c>
      <c r="B36" s="5" t="s">
        <v>151</v>
      </c>
      <c r="C36" s="5" t="s">
        <v>142</v>
      </c>
      <c r="D36" s="5" t="s">
        <v>152</v>
      </c>
      <c r="E36" s="5" t="s">
        <v>153</v>
      </c>
      <c r="F36" s="1"/>
      <c r="G36" s="1"/>
    </row>
    <row r="37" ht="55.5" customHeight="1">
      <c r="A37" s="5" t="s">
        <v>154</v>
      </c>
      <c r="B37" s="5" t="s">
        <v>155</v>
      </c>
      <c r="C37" s="5" t="s">
        <v>50</v>
      </c>
      <c r="D37" s="5" t="s">
        <v>156</v>
      </c>
      <c r="E37" s="5" t="s">
        <v>157</v>
      </c>
      <c r="F37" s="1"/>
      <c r="G37" s="1"/>
    </row>
    <row r="38" ht="15.75" customHeight="1">
      <c r="A38" s="1"/>
      <c r="B38" s="1"/>
      <c r="C38" s="1"/>
      <c r="D38" s="1"/>
      <c r="E38" s="1"/>
      <c r="F38" s="1"/>
      <c r="G38" s="1"/>
    </row>
    <row r="39" ht="15.75" customHeight="1">
      <c r="A39" s="1"/>
      <c r="B39" s="1"/>
      <c r="C39" s="1"/>
      <c r="D39" s="1"/>
      <c r="E39" s="1"/>
      <c r="F39" s="1"/>
      <c r="G39" s="1"/>
    </row>
    <row r="40" ht="31.5" customHeight="1">
      <c r="A40" s="4" t="s">
        <v>158</v>
      </c>
      <c r="B40" s="4" t="s">
        <v>159</v>
      </c>
      <c r="C40" s="4" t="s">
        <v>160</v>
      </c>
      <c r="D40" s="4" t="s">
        <v>161</v>
      </c>
      <c r="E40" s="4" t="s">
        <v>162</v>
      </c>
      <c r="F40" s="1"/>
      <c r="G40" s="1"/>
    </row>
    <row r="41" ht="61.5" customHeight="1">
      <c r="A41" s="5" t="s">
        <v>163</v>
      </c>
      <c r="B41" s="5" t="s">
        <v>164</v>
      </c>
      <c r="C41" s="5" t="s">
        <v>165</v>
      </c>
      <c r="D41" s="5" t="s">
        <v>166</v>
      </c>
      <c r="E41" s="5" t="s">
        <v>167</v>
      </c>
      <c r="F41" s="1"/>
      <c r="G41" s="1"/>
    </row>
    <row r="42" ht="61.5" customHeight="1">
      <c r="A42" s="5" t="s">
        <v>168</v>
      </c>
      <c r="B42" s="5" t="s">
        <v>169</v>
      </c>
      <c r="C42" s="5" t="s">
        <v>170</v>
      </c>
      <c r="D42" s="5" t="s">
        <v>171</v>
      </c>
      <c r="E42" s="5" t="s">
        <v>172</v>
      </c>
      <c r="F42" s="1"/>
      <c r="G42" s="1"/>
    </row>
    <row r="43" ht="61.5" customHeight="1">
      <c r="A43" s="5" t="s">
        <v>173</v>
      </c>
      <c r="B43" s="5" t="s">
        <v>174</v>
      </c>
      <c r="C43" s="5" t="s">
        <v>175</v>
      </c>
      <c r="D43" s="5" t="s">
        <v>177</v>
      </c>
      <c r="E43" s="5" t="s">
        <v>178</v>
      </c>
      <c r="F43" s="1"/>
      <c r="G43" s="1"/>
    </row>
    <row r="44" ht="15.75" customHeight="1">
      <c r="A44" s="1"/>
      <c r="B44" s="1"/>
      <c r="C44" s="1"/>
      <c r="D44" s="1"/>
      <c r="E44" s="1"/>
      <c r="F44" s="1"/>
      <c r="G44" s="1"/>
    </row>
    <row r="45" ht="15.75" customHeight="1">
      <c r="A45" s="1"/>
      <c r="B45" s="1"/>
      <c r="C45" s="1"/>
      <c r="D45" s="1"/>
      <c r="E45" s="1"/>
      <c r="F45" s="1"/>
      <c r="G45" s="1"/>
    </row>
    <row r="46" ht="15.75" customHeight="1">
      <c r="A46" s="1"/>
      <c r="B46" s="1"/>
      <c r="C46" s="1"/>
      <c r="D46" s="1"/>
      <c r="E46" s="1"/>
      <c r="F46" s="1"/>
      <c r="G46" s="1"/>
    </row>
    <row r="47" ht="15.75" customHeight="1">
      <c r="A47" s="1"/>
      <c r="B47" s="1"/>
      <c r="C47" s="1"/>
      <c r="D47" s="1"/>
      <c r="E47" s="1"/>
      <c r="F47" s="1"/>
      <c r="G47" s="1"/>
    </row>
    <row r="48" ht="15.75" customHeight="1">
      <c r="A48" s="1"/>
      <c r="B48" s="1"/>
      <c r="C48" s="1"/>
      <c r="D48" s="1"/>
      <c r="E48" s="1"/>
      <c r="F48" s="1"/>
      <c r="G48" s="1"/>
    </row>
    <row r="49" ht="15.75" customHeight="1">
      <c r="A49" s="1"/>
      <c r="B49" s="1"/>
      <c r="C49" s="1"/>
      <c r="D49" s="1"/>
      <c r="E49" s="1"/>
      <c r="F49" s="1"/>
      <c r="G49" s="1"/>
    </row>
    <row r="50" ht="15.75" customHeight="1">
      <c r="A50" s="1"/>
      <c r="B50" s="1"/>
      <c r="C50" s="1"/>
      <c r="D50" s="1"/>
      <c r="E50" s="1"/>
      <c r="F50" s="1"/>
      <c r="G50" s="1"/>
    </row>
    <row r="51" ht="15.75" customHeight="1">
      <c r="A51" s="1"/>
      <c r="B51" s="1"/>
      <c r="C51" s="1"/>
      <c r="D51" s="1"/>
      <c r="E51" s="1"/>
      <c r="F51" s="1"/>
      <c r="G51" s="1"/>
    </row>
    <row r="52" ht="15.75" customHeight="1">
      <c r="A52" s="1"/>
      <c r="B52" s="1"/>
      <c r="C52" s="1"/>
      <c r="D52" s="1"/>
      <c r="E52" s="1"/>
      <c r="F52" s="1"/>
      <c r="G52" s="1"/>
    </row>
    <row r="53" ht="15.75" customHeight="1">
      <c r="A53" s="1"/>
      <c r="B53" s="1"/>
      <c r="C53" s="1"/>
      <c r="D53" s="1"/>
      <c r="E53" s="1"/>
      <c r="F53" s="1"/>
      <c r="G53" s="1"/>
    </row>
    <row r="54" ht="15.75" customHeight="1">
      <c r="A54" s="1"/>
      <c r="B54" s="1"/>
      <c r="C54" s="1"/>
      <c r="D54" s="1"/>
      <c r="E54" s="1"/>
      <c r="F54" s="1"/>
      <c r="G54" s="1"/>
    </row>
    <row r="55" ht="15.75" customHeight="1">
      <c r="A55" s="1"/>
      <c r="B55" s="1"/>
      <c r="C55" s="1"/>
      <c r="D55" s="1"/>
      <c r="E55" s="1"/>
      <c r="F55" s="1"/>
      <c r="G55" s="1"/>
    </row>
    <row r="56" ht="15.75" customHeight="1">
      <c r="A56" s="1"/>
      <c r="B56" s="1"/>
      <c r="C56" s="1"/>
      <c r="D56" s="1"/>
      <c r="E56" s="1"/>
      <c r="F56" s="1"/>
      <c r="G56" s="1"/>
    </row>
    <row r="57" ht="15.75" customHeight="1">
      <c r="A57" s="1"/>
      <c r="B57" s="1"/>
      <c r="C57" s="1"/>
      <c r="D57" s="1"/>
      <c r="E57" s="1"/>
      <c r="F57" s="1"/>
      <c r="G57" s="1"/>
    </row>
    <row r="58" ht="15.75" customHeight="1">
      <c r="A58" s="1"/>
      <c r="B58" s="1"/>
      <c r="C58" s="1"/>
      <c r="D58" s="1"/>
      <c r="E58" s="1"/>
      <c r="F58" s="1"/>
      <c r="G58" s="1"/>
    </row>
    <row r="59" ht="15.75" customHeight="1">
      <c r="A59" s="1"/>
      <c r="B59" s="1"/>
      <c r="C59" s="1"/>
      <c r="D59" s="1"/>
      <c r="E59" s="1"/>
      <c r="F59" s="1"/>
      <c r="G59" s="1"/>
    </row>
    <row r="60" ht="15.75" customHeight="1">
      <c r="A60" s="1"/>
      <c r="B60" s="1"/>
      <c r="C60" s="1"/>
      <c r="D60" s="1"/>
      <c r="E60" s="1"/>
      <c r="F60" s="1"/>
      <c r="G60" s="1"/>
    </row>
    <row r="61" ht="15.75" customHeight="1">
      <c r="A61" s="1"/>
      <c r="B61" s="1"/>
      <c r="C61" s="1"/>
      <c r="D61" s="1"/>
      <c r="E61" s="1"/>
      <c r="F61" s="1"/>
      <c r="G61" s="1"/>
    </row>
    <row r="62" ht="15.75" customHeight="1">
      <c r="A62" s="1"/>
      <c r="B62" s="1"/>
      <c r="C62" s="1"/>
      <c r="D62" s="1"/>
      <c r="E62" s="1"/>
      <c r="F62" s="1"/>
      <c r="G62" s="1"/>
    </row>
    <row r="63" ht="15.75" customHeight="1">
      <c r="A63" s="1"/>
      <c r="B63" s="1"/>
      <c r="C63" s="1"/>
      <c r="D63" s="1"/>
      <c r="E63" s="1"/>
      <c r="F63" s="1"/>
      <c r="G63" s="1"/>
    </row>
    <row r="64" ht="15.75" customHeight="1">
      <c r="A64" s="1"/>
      <c r="B64" s="1"/>
      <c r="C64" s="1"/>
      <c r="D64" s="1"/>
      <c r="E64" s="1"/>
      <c r="F64" s="1"/>
      <c r="G64" s="1"/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